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por garcom" sheetId="1" state="visible" r:id="rId3"/>
    <sheet name="Diario" sheetId="2" state="visible" r:id="rId4"/>
    <sheet name="Scans que viraram nota" sheetId="3" state="visible" r:id="rId5"/>
    <sheet name="Scans sem avaliacao" sheetId="4" state="visible" r:id="rId6"/>
    <sheet name="Avaliacoes sem sca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<sst xmlns="http://schemas.openxmlformats.org/spreadsheetml/2006/main" count="1101" uniqueCount="503">
  <si>
    <t xml:space="preserve">Garcom</t>
  </si>
  <si>
    <t xml:space="preserve">Scans limpos</t>
  </si>
  <si>
    <t xml:space="preserve">Viraram nota</t>
  </si>
  <si>
    <t xml:space="preserve">Perderam</t>
  </si>
  <si>
    <t xml:space="preserve">Conversao</t>
  </si>
  <si>
    <t xml:space="preserve">Media das notas</t>
  </si>
  <si>
    <t xml:space="preserve">Variavel (R$2)</t>
  </si>
  <si>
    <t xml:space="preserve">Bonus (R$50/40)</t>
  </si>
  <si>
    <t xml:space="preserve">Total a pagar</t>
  </si>
  <si>
    <t xml:space="preserve">Faltam p/ proximo bonus</t>
  </si>
  <si>
    <t xml:space="preserve">Parametros</t>
  </si>
  <si>
    <t xml:space="preserve">Clara</t>
  </si>
  <si>
    <t xml:space="preserve">Valor por avaliacao</t>
  </si>
  <si>
    <t xml:space="preserve">Thalia</t>
  </si>
  <si>
    <t xml:space="preserve">Bonus por lote</t>
  </si>
  <si>
    <t xml:space="preserve">Alexandre</t>
  </si>
  <si>
    <t xml:space="preserve">Avaliacoes por lote</t>
  </si>
  <si>
    <t xml:space="preserve">Rafa</t>
  </si>
  <si>
    <t xml:space="preserve">TOTAL</t>
  </si>
  <si>
    <t xml:space="preserve">Custo por avaliacao publicada</t>
  </si>
  <si>
    <t xml:space="preserve">Periodo: 05 a 24 de agosto de 2026.</t>
  </si>
  <si>
    <t xml:space="preserve">Celulas amarelas em M/N sao os parametros do programa. Alterar ali recalcula toda a planilha.</t>
  </si>
  <si>
    <t xml:space="preserve">Scans limpos pela MESMA regra do build.py: mesmo atendente no mesmo aparelho dentro de 10 segundos conta como um.</t>
  </si>
  <si>
    <t xml:space="preserve">196 cliques brutos, 16 descontados como repeticao, 180 contados.</t>
  </si>
  <si>
    <t xml:space="preserve">Janela de atribuicao: 10 minutos, calibrada pela defasagem real medida (mediana 54s, p95 6,4 min).</t>
  </si>
  <si>
    <t xml:space="preserve">Bonus por lote fechado de 40 avaliacoes publicadas. Lote incompleto nao gera bonus e nao acumula.</t>
  </si>
  <si>
    <t xml:space="preserve">Fonte: cliques_avaliacao (Supabase) x reviews.list da Google Business Profile API, projeto 685524545181.</t>
  </si>
  <si>
    <t xml:space="preserve">Data</t>
  </si>
  <si>
    <t xml:space="preserve">Dia</t>
  </si>
  <si>
    <t xml:space="preserve">Clara scans</t>
  </si>
  <si>
    <t xml:space="preserve">Clara notas</t>
  </si>
  <si>
    <t xml:space="preserve">Thalia scans</t>
  </si>
  <si>
    <t xml:space="preserve">Thalia notas</t>
  </si>
  <si>
    <t xml:space="preserve">Outros scans</t>
  </si>
  <si>
    <t xml:space="preserve">05/08/2026</t>
  </si>
  <si>
    <t xml:space="preserve">quarta</t>
  </si>
  <si>
    <t xml:space="preserve">06/08/2026</t>
  </si>
  <si>
    <t xml:space="preserve">quinta</t>
  </si>
  <si>
    <t xml:space="preserve">07/08/2026</t>
  </si>
  <si>
    <t xml:space="preserve">sexta</t>
  </si>
  <si>
    <t xml:space="preserve">08/08/2026</t>
  </si>
  <si>
    <t xml:space="preserve">sabado</t>
  </si>
  <si>
    <t xml:space="preserve">09/08/2026</t>
  </si>
  <si>
    <t xml:space="preserve">domingo</t>
  </si>
  <si>
    <t xml:space="preserve">11/08/2026</t>
  </si>
  <si>
    <t xml:space="preserve">terca</t>
  </si>
  <si>
    <t xml:space="preserve">13/08/2026</t>
  </si>
  <si>
    <t xml:space="preserve">14/08/2026</t>
  </si>
  <si>
    <t xml:space="preserve">15/08/2026</t>
  </si>
  <si>
    <t xml:space="preserve">16/08/2026</t>
  </si>
  <si>
    <t xml:space="preserve">17/08/2026</t>
  </si>
  <si>
    <t xml:space="preserve">segunda</t>
  </si>
  <si>
    <t xml:space="preserve">19/08/2026</t>
  </si>
  <si>
    <t xml:space="preserve">21/08/2026</t>
  </si>
  <si>
    <t xml:space="preserve">22/08/2026</t>
  </si>
  <si>
    <t xml:space="preserve">23/08/2026</t>
  </si>
  <si>
    <t xml:space="preserve">Uma linha por dia com scan registrado. Dias em vermelho: houve scan e nenhuma avaliacao publicada.</t>
  </si>
  <si>
    <t xml:space="preserve">Formato que o relatorio diario deve gravar, apos a janela de estabilizacao.</t>
  </si>
  <si>
    <t xml:space="preserve">Scans = limpos pela regra do build.py. Notas = scans pareados 1:1 a uma avaliacao publicada em ate 10 minutos.</t>
  </si>
  <si>
    <t xml:space="preserve">#</t>
  </si>
  <si>
    <t xml:space="preserve">Hora do scan</t>
  </si>
  <si>
    <t xml:space="preserve">Hora da avaliacao</t>
  </si>
  <si>
    <t xml:space="preserve">Defasagem (min)</t>
  </si>
  <si>
    <t xml:space="preserve">Nota</t>
  </si>
  <si>
    <t xml:space="preserve">Cliente</t>
  </si>
  <si>
    <t xml:space="preserve">Tem texto</t>
  </si>
  <si>
    <t xml:space="preserve">18:17:26</t>
  </si>
  <si>
    <t xml:space="preserve">18:20:20</t>
  </si>
  <si>
    <t xml:space="preserve">Clara Souza</t>
  </si>
  <si>
    <t xml:space="preserve">nao</t>
  </si>
  <si>
    <t xml:space="preserve">19:11:47</t>
  </si>
  <si>
    <t xml:space="preserve">19:12:33</t>
  </si>
  <si>
    <t xml:space="preserve">Victória Elizabeth</t>
  </si>
  <si>
    <t xml:space="preserve">19:22:19</t>
  </si>
  <si>
    <t xml:space="preserve">19:22:41</t>
  </si>
  <si>
    <t xml:space="preserve">Thalia Pereira de Oliveira</t>
  </si>
  <si>
    <t xml:space="preserve">19:52:54</t>
  </si>
  <si>
    <t xml:space="preserve">19:56:29</t>
  </si>
  <si>
    <t xml:space="preserve">Guillermo Braunbeck</t>
  </si>
  <si>
    <t xml:space="preserve">sim</t>
  </si>
  <si>
    <t xml:space="preserve">21:08:49</t>
  </si>
  <si>
    <t xml:space="preserve">21:12:26</t>
  </si>
  <si>
    <t xml:space="preserve">Júlia Aquino Teixeira</t>
  </si>
  <si>
    <t xml:space="preserve">21:23:09</t>
  </si>
  <si>
    <t xml:space="preserve">21:23:51</t>
  </si>
  <si>
    <t xml:space="preserve">Karoline Carvalho</t>
  </si>
  <si>
    <t xml:space="preserve">21:23:06</t>
  </si>
  <si>
    <t xml:space="preserve">21:25:42</t>
  </si>
  <si>
    <t xml:space="preserve">Leiliane Massarella Melo Tristão</t>
  </si>
  <si>
    <t xml:space="preserve">21:21:20</t>
  </si>
  <si>
    <t xml:space="preserve">21:25:57</t>
  </si>
  <si>
    <t xml:space="preserve">Elke Carvalho</t>
  </si>
  <si>
    <t xml:space="preserve">21:52:08</t>
  </si>
  <si>
    <t xml:space="preserve">21:54:51</t>
  </si>
  <si>
    <t xml:space="preserve">Nicolas Machado</t>
  </si>
  <si>
    <t xml:space="preserve">22:35:25</t>
  </si>
  <si>
    <t xml:space="preserve">22:36:31</t>
  </si>
  <si>
    <t xml:space="preserve">Doug P.</t>
  </si>
  <si>
    <t xml:space="preserve">20:14:33</t>
  </si>
  <si>
    <t xml:space="preserve">20:16:01</t>
  </si>
  <si>
    <t xml:space="preserve">Altay Souza</t>
  </si>
  <si>
    <t xml:space="preserve">20:36:01</t>
  </si>
  <si>
    <t xml:space="preserve">20:36:20</t>
  </si>
  <si>
    <t xml:space="preserve">Juliana Gatti</t>
  </si>
  <si>
    <t xml:space="preserve">20:35:55</t>
  </si>
  <si>
    <t xml:space="preserve">20:36:45</t>
  </si>
  <si>
    <t xml:space="preserve">SANDRO CABRAL DA SILVA</t>
  </si>
  <si>
    <t xml:space="preserve">20:53:42</t>
  </si>
  <si>
    <t xml:space="preserve">20:53:53</t>
  </si>
  <si>
    <t xml:space="preserve">Gabriela Botelho</t>
  </si>
  <si>
    <t xml:space="preserve">21:14:04</t>
  </si>
  <si>
    <t xml:space="preserve">21:14:41</t>
  </si>
  <si>
    <t xml:space="preserve">Miguel JBraga</t>
  </si>
  <si>
    <t xml:space="preserve">21:14:01</t>
  </si>
  <si>
    <t xml:space="preserve">21:14:48</t>
  </si>
  <si>
    <t xml:space="preserve">Carol Freire</t>
  </si>
  <si>
    <t xml:space="preserve">21:15:31</t>
  </si>
  <si>
    <t xml:space="preserve">João Freitas</t>
  </si>
  <si>
    <t xml:space="preserve">21:19:03</t>
  </si>
  <si>
    <t xml:space="preserve">21:19:52</t>
  </si>
  <si>
    <t xml:space="preserve">Anna Flávya</t>
  </si>
  <si>
    <t xml:space="preserve">21:48:56</t>
  </si>
  <si>
    <t xml:space="preserve">21:49:40</t>
  </si>
  <si>
    <t xml:space="preserve">Simone Rebouças</t>
  </si>
  <si>
    <t xml:space="preserve">22:03:09</t>
  </si>
  <si>
    <t xml:space="preserve">22:03:24</t>
  </si>
  <si>
    <t xml:space="preserve">Gaia Spolverini</t>
  </si>
  <si>
    <t xml:space="preserve">22:02:55</t>
  </si>
  <si>
    <t xml:space="preserve">22:04:37</t>
  </si>
  <si>
    <t xml:space="preserve">Lucrezia Berger</t>
  </si>
  <si>
    <t xml:space="preserve">22:18:24</t>
  </si>
  <si>
    <t xml:space="preserve">22:18:34</t>
  </si>
  <si>
    <t xml:space="preserve">Gabriela Esteves Sbardellotto</t>
  </si>
  <si>
    <t xml:space="preserve">22:18:20</t>
  </si>
  <si>
    <t xml:space="preserve">22:19:03</t>
  </si>
  <si>
    <t xml:space="preserve">João Pedro Volski Benevenuto</t>
  </si>
  <si>
    <t xml:space="preserve">22:20:57</t>
  </si>
  <si>
    <t xml:space="preserve">22:22:02</t>
  </si>
  <si>
    <t xml:space="preserve">Luis Boada-Vina</t>
  </si>
  <si>
    <t xml:space="preserve">22:27:43</t>
  </si>
  <si>
    <t xml:space="preserve">22:28:53</t>
  </si>
  <si>
    <t xml:space="preserve">Luana Ramos</t>
  </si>
  <si>
    <t xml:space="preserve">19:23:14</t>
  </si>
  <si>
    <t xml:space="preserve">19:23:51</t>
  </si>
  <si>
    <t xml:space="preserve">Miguel Barcia</t>
  </si>
  <si>
    <t xml:space="preserve">19:34:26</t>
  </si>
  <si>
    <t xml:space="preserve">19:35:09</t>
  </si>
  <si>
    <t xml:space="preserve">Kathelyn Gomes</t>
  </si>
  <si>
    <t xml:space="preserve">19:34:20</t>
  </si>
  <si>
    <t xml:space="preserve">19:35:13</t>
  </si>
  <si>
    <t xml:space="preserve">Priscila Evans</t>
  </si>
  <si>
    <t xml:space="preserve">21:00:46</t>
  </si>
  <si>
    <t xml:space="preserve">21:02:07</t>
  </si>
  <si>
    <t xml:space="preserve">MAÍRA CARVALHO</t>
  </si>
  <si>
    <t xml:space="preserve">21:29:56</t>
  </si>
  <si>
    <t xml:space="preserve">21:30:30</t>
  </si>
  <si>
    <t xml:space="preserve">Caroline Guerra</t>
  </si>
  <si>
    <t xml:space="preserve">21:29:55</t>
  </si>
  <si>
    <t xml:space="preserve">21:31:02</t>
  </si>
  <si>
    <t xml:space="preserve">Barbara Teixeira</t>
  </si>
  <si>
    <t xml:space="preserve">21:34:23</t>
  </si>
  <si>
    <t xml:space="preserve">21:36:38</t>
  </si>
  <si>
    <t xml:space="preserve">Carlos Huang</t>
  </si>
  <si>
    <t xml:space="preserve">21:52:55</t>
  </si>
  <si>
    <t xml:space="preserve">21:54:39</t>
  </si>
  <si>
    <t xml:space="preserve">Andrea L</t>
  </si>
  <si>
    <t xml:space="preserve">21:52:51</t>
  </si>
  <si>
    <t xml:space="preserve">21:54:45</t>
  </si>
  <si>
    <t xml:space="preserve">Nycolas Vieira</t>
  </si>
  <si>
    <t xml:space="preserve">22:51:31</t>
  </si>
  <si>
    <t xml:space="preserve">22:52:15</t>
  </si>
  <si>
    <t xml:space="preserve">Mirian Terra</t>
  </si>
  <si>
    <t xml:space="preserve">23:05:19</t>
  </si>
  <si>
    <t xml:space="preserve">23:06:02</t>
  </si>
  <si>
    <t xml:space="preserve">Felipe Ferreira</t>
  </si>
  <si>
    <t xml:space="preserve">19:55:40</t>
  </si>
  <si>
    <t xml:space="preserve">19:56:10</t>
  </si>
  <si>
    <t xml:space="preserve">Julio Rodrigues Tomé</t>
  </si>
  <si>
    <t xml:space="preserve">19:56:35</t>
  </si>
  <si>
    <t xml:space="preserve">Rafa Lopes</t>
  </si>
  <si>
    <t xml:space="preserve">20:48:13</t>
  </si>
  <si>
    <t xml:space="preserve">20:48:50</t>
  </si>
  <si>
    <t xml:space="preserve">Matheus Kamimura</t>
  </si>
  <si>
    <t xml:space="preserve">20:48:11</t>
  </si>
  <si>
    <t xml:space="preserve">20:48:59</t>
  </si>
  <si>
    <t xml:space="preserve">Larissa Oliveira</t>
  </si>
  <si>
    <t xml:space="preserve">21:30:53</t>
  </si>
  <si>
    <t xml:space="preserve">21:31:55</t>
  </si>
  <si>
    <t xml:space="preserve">Lucas Almeida Paz</t>
  </si>
  <si>
    <t xml:space="preserve">20:33:05</t>
  </si>
  <si>
    <t xml:space="preserve">20:35:26</t>
  </si>
  <si>
    <t xml:space="preserve">Ismael Otegui</t>
  </si>
  <si>
    <t xml:space="preserve">20:45:44</t>
  </si>
  <si>
    <t xml:space="preserve">20:46:17</t>
  </si>
  <si>
    <t xml:space="preserve">Beatriz Machado Silva</t>
  </si>
  <si>
    <t xml:space="preserve">20:43:56</t>
  </si>
  <si>
    <t xml:space="preserve">20:43:58</t>
  </si>
  <si>
    <t xml:space="preserve">Júlia Luíza de Miranda Murad</t>
  </si>
  <si>
    <t xml:space="preserve">20:43:33</t>
  </si>
  <si>
    <t xml:space="preserve">20:44:17</t>
  </si>
  <si>
    <t xml:space="preserve">Yasmin Luque</t>
  </si>
  <si>
    <t xml:space="preserve">21:42:34</t>
  </si>
  <si>
    <t xml:space="preserve">21:43:27</t>
  </si>
  <si>
    <t xml:space="preserve">Julia Medina</t>
  </si>
  <si>
    <t xml:space="preserve">21:49:00</t>
  </si>
  <si>
    <t xml:space="preserve">21:49:49</t>
  </si>
  <si>
    <t xml:space="preserve">Luiz Fernando Reis</t>
  </si>
  <si>
    <t xml:space="preserve">21:48:57</t>
  </si>
  <si>
    <t xml:space="preserve">21:50:39</t>
  </si>
  <si>
    <t xml:space="preserve">Maria Fernanda Reis</t>
  </si>
  <si>
    <t xml:space="preserve">22:15:05</t>
  </si>
  <si>
    <t xml:space="preserve">22:15:47</t>
  </si>
  <si>
    <t xml:space="preserve">Beatriz Paes</t>
  </si>
  <si>
    <t xml:space="preserve">22:19:55</t>
  </si>
  <si>
    <t xml:space="preserve">22:21:06</t>
  </si>
  <si>
    <t xml:space="preserve">Jhonatan Miranda</t>
  </si>
  <si>
    <t xml:space="preserve">22:34:27</t>
  </si>
  <si>
    <t xml:space="preserve">22:35:51</t>
  </si>
  <si>
    <t xml:space="preserve">Caroline Valerio</t>
  </si>
  <si>
    <t xml:space="preserve">22:48:01</t>
  </si>
  <si>
    <t xml:space="preserve">22:49:26</t>
  </si>
  <si>
    <t xml:space="preserve">Gabriel Lodi</t>
  </si>
  <si>
    <t xml:space="preserve">22:47:06</t>
  </si>
  <si>
    <t xml:space="preserve">22:49:40</t>
  </si>
  <si>
    <t xml:space="preserve">Caroline Viana</t>
  </si>
  <si>
    <t xml:space="preserve">22:53:24</t>
  </si>
  <si>
    <t xml:space="preserve">22:58:33</t>
  </si>
  <si>
    <t xml:space="preserve">Lua Figueiredo Trava Airoldi</t>
  </si>
  <si>
    <t xml:space="preserve">22:52:37</t>
  </si>
  <si>
    <t xml:space="preserve">23:00:15</t>
  </si>
  <si>
    <t xml:space="preserve">margaux jomain</t>
  </si>
  <si>
    <t xml:space="preserve">23:11:13</t>
  </si>
  <si>
    <t xml:space="preserve">23:11:25</t>
  </si>
  <si>
    <t xml:space="preserve">Adriano Riello Pereira</t>
  </si>
  <si>
    <t xml:space="preserve">23:11:40</t>
  </si>
  <si>
    <t xml:space="preserve">23:11:48</t>
  </si>
  <si>
    <t xml:space="preserve">Leonardo Reis Krall</t>
  </si>
  <si>
    <t xml:space="preserve">23:11:10</t>
  </si>
  <si>
    <t xml:space="preserve">23:12:13</t>
  </si>
  <si>
    <t xml:space="preserve">Camila Moraes Guerrero</t>
  </si>
  <si>
    <t xml:space="preserve">19:20:21</t>
  </si>
  <si>
    <t xml:space="preserve">19:21:23</t>
  </si>
  <si>
    <t xml:space="preserve">William Dauer</t>
  </si>
  <si>
    <t xml:space="preserve">19:39:53</t>
  </si>
  <si>
    <t xml:space="preserve">19:40:02</t>
  </si>
  <si>
    <t xml:space="preserve">Fillipe Bourbon</t>
  </si>
  <si>
    <t xml:space="preserve">19:58:07</t>
  </si>
  <si>
    <t xml:space="preserve">19:59:44</t>
  </si>
  <si>
    <t xml:space="preserve">Rafael Mauad</t>
  </si>
  <si>
    <t xml:space="preserve">20:27:24</t>
  </si>
  <si>
    <t xml:space="preserve">20:28:38</t>
  </si>
  <si>
    <t xml:space="preserve">Isabella Navarro</t>
  </si>
  <si>
    <t xml:space="preserve">20:32:25</t>
  </si>
  <si>
    <t xml:space="preserve">20:32:34</t>
  </si>
  <si>
    <t xml:space="preserve">Marcela N</t>
  </si>
  <si>
    <t xml:space="preserve">20:33:10</t>
  </si>
  <si>
    <t xml:space="preserve">20:33:31</t>
  </si>
  <si>
    <t xml:space="preserve">Alice Chaves</t>
  </si>
  <si>
    <t xml:space="preserve">20:31:25</t>
  </si>
  <si>
    <t xml:space="preserve">20:35:47</t>
  </si>
  <si>
    <t xml:space="preserve">Stella Santos</t>
  </si>
  <si>
    <t xml:space="preserve">20:37:20</t>
  </si>
  <si>
    <t xml:space="preserve">20:38:25</t>
  </si>
  <si>
    <t xml:space="preserve">Renata Reis</t>
  </si>
  <si>
    <t xml:space="preserve">20:41:46</t>
  </si>
  <si>
    <t xml:space="preserve">20:42:40</t>
  </si>
  <si>
    <t xml:space="preserve">JULIA LEAL</t>
  </si>
  <si>
    <t xml:space="preserve">20:41:39</t>
  </si>
  <si>
    <t xml:space="preserve">20:42:46</t>
  </si>
  <si>
    <t xml:space="preserve">André Crepaldi</t>
  </si>
  <si>
    <t xml:space="preserve">20:52:27</t>
  </si>
  <si>
    <t xml:space="preserve">20:54:19</t>
  </si>
  <si>
    <t xml:space="preserve">Caren Farias</t>
  </si>
  <si>
    <t xml:space="preserve">21:05:26</t>
  </si>
  <si>
    <t xml:space="preserve">21:05:52</t>
  </si>
  <si>
    <t xml:space="preserve">Júlio César Nascimento</t>
  </si>
  <si>
    <t xml:space="preserve">20:59:05</t>
  </si>
  <si>
    <t xml:space="preserve">21:08:26</t>
  </si>
  <si>
    <t xml:space="preserve">Fábio Farias</t>
  </si>
  <si>
    <t xml:space="preserve">21:09:52</t>
  </si>
  <si>
    <t xml:space="preserve">21:10:25</t>
  </si>
  <si>
    <t xml:space="preserve">Larissa Werther</t>
  </si>
  <si>
    <t xml:space="preserve">21:40:50</t>
  </si>
  <si>
    <t xml:space="preserve">21:43:40</t>
  </si>
  <si>
    <t xml:space="preserve">Giovanni Andrade (Giovanni)</t>
  </si>
  <si>
    <t xml:space="preserve">22:04:47</t>
  </si>
  <si>
    <t xml:space="preserve">22:05:26</t>
  </si>
  <si>
    <t xml:space="preserve">Ana Trovo</t>
  </si>
  <si>
    <t xml:space="preserve">22:04:38</t>
  </si>
  <si>
    <t xml:space="preserve">22:06:49</t>
  </si>
  <si>
    <t xml:space="preserve">Lorena Rocha</t>
  </si>
  <si>
    <t xml:space="preserve">22:07:34</t>
  </si>
  <si>
    <t xml:space="preserve">22:08:25</t>
  </si>
  <si>
    <t xml:space="preserve">Vitoria de Souza Mesquita</t>
  </si>
  <si>
    <t xml:space="preserve">22:16:34</t>
  </si>
  <si>
    <t xml:space="preserve">22:17:39</t>
  </si>
  <si>
    <t xml:space="preserve">Miguel Alabi</t>
  </si>
  <si>
    <t xml:space="preserve">22:16:31</t>
  </si>
  <si>
    <t xml:space="preserve">22:17:49</t>
  </si>
  <si>
    <t xml:space="preserve">alice lemos</t>
  </si>
  <si>
    <t xml:space="preserve">23:18:59</t>
  </si>
  <si>
    <t xml:space="preserve">23:19:38</t>
  </si>
  <si>
    <t xml:space="preserve">regina prado</t>
  </si>
  <si>
    <t xml:space="preserve">23:17:35</t>
  </si>
  <si>
    <t xml:space="preserve">23:19:45</t>
  </si>
  <si>
    <t xml:space="preserve">Fernanda Rosa</t>
  </si>
  <si>
    <t xml:space="preserve">23:21:46</t>
  </si>
  <si>
    <t xml:space="preserve">23:23:14</t>
  </si>
  <si>
    <t xml:space="preserve">Bryan Chabar</t>
  </si>
  <si>
    <t xml:space="preserve">19:41:08</t>
  </si>
  <si>
    <t xml:space="preserve">19:41:32</t>
  </si>
  <si>
    <t xml:space="preserve">Ricardo Bezerra</t>
  </si>
  <si>
    <t xml:space="preserve">21:06:51</t>
  </si>
  <si>
    <t xml:space="preserve">21:07:16</t>
  </si>
  <si>
    <t xml:space="preserve">Alexandre Hertz</t>
  </si>
  <si>
    <t xml:space="preserve">21:29:57</t>
  </si>
  <si>
    <t xml:space="preserve">21:29:58</t>
  </si>
  <si>
    <t xml:space="preserve">Matheus Lencek</t>
  </si>
  <si>
    <t xml:space="preserve">21:29:59</t>
  </si>
  <si>
    <t xml:space="preserve">21:30:39</t>
  </si>
  <si>
    <t xml:space="preserve">Amanda Dallmann</t>
  </si>
  <si>
    <t xml:space="preserve">21:33:28</t>
  </si>
  <si>
    <t xml:space="preserve">21:34:28</t>
  </si>
  <si>
    <t xml:space="preserve">Patrícia</t>
  </si>
  <si>
    <t xml:space="preserve">21:35:00</t>
  </si>
  <si>
    <t xml:space="preserve">21:35:34</t>
  </si>
  <si>
    <t xml:space="preserve">Eduardo Martins</t>
  </si>
  <si>
    <t xml:space="preserve">21:41:41</t>
  </si>
  <si>
    <t xml:space="preserve">21:42:03</t>
  </si>
  <si>
    <t xml:space="preserve">julie l</t>
  </si>
  <si>
    <t xml:space="preserve">21:34:52</t>
  </si>
  <si>
    <t xml:space="preserve">21:42:09</t>
  </si>
  <si>
    <t xml:space="preserve">Guilherme Neves</t>
  </si>
  <si>
    <t xml:space="preserve">21:57:50</t>
  </si>
  <si>
    <t xml:space="preserve">21:58:03</t>
  </si>
  <si>
    <t xml:space="preserve">Oneyka Cavalcante</t>
  </si>
  <si>
    <t xml:space="preserve">21:57:38</t>
  </si>
  <si>
    <t xml:space="preserve">21:58:26</t>
  </si>
  <si>
    <t xml:space="preserve">Vinícius Albuquerque</t>
  </si>
  <si>
    <t xml:space="preserve">21:11:41</t>
  </si>
  <si>
    <t xml:space="preserve">21:11:45</t>
  </si>
  <si>
    <t xml:space="preserve">Luis Henrique Santos</t>
  </si>
  <si>
    <t xml:space="preserve">21:11:31</t>
  </si>
  <si>
    <t xml:space="preserve">21:12:12</t>
  </si>
  <si>
    <t xml:space="preserve">Mariana Costa Mieli</t>
  </si>
  <si>
    <t xml:space="preserve">21:30:14</t>
  </si>
  <si>
    <t xml:space="preserve">21:31:18</t>
  </si>
  <si>
    <t xml:space="preserve">Marina Nagata</t>
  </si>
  <si>
    <t xml:space="preserve">22:14:42</t>
  </si>
  <si>
    <t xml:space="preserve">22:16:50</t>
  </si>
  <si>
    <t xml:space="preserve">Marina Andrade Oliveira</t>
  </si>
  <si>
    <t xml:space="preserve">22:26:22</t>
  </si>
  <si>
    <t xml:space="preserve">22:28:08</t>
  </si>
  <si>
    <t xml:space="preserve">Rafael Silva</t>
  </si>
  <si>
    <t xml:space="preserve">21:37:29</t>
  </si>
  <si>
    <t xml:space="preserve">21:37:49</t>
  </si>
  <si>
    <t xml:space="preserve">Carolina Huang</t>
  </si>
  <si>
    <t xml:space="preserve">21:55:53</t>
  </si>
  <si>
    <t xml:space="preserve">21:56:36</t>
  </si>
  <si>
    <t xml:space="preserve">Pedro Paulo Capoli de Moraes</t>
  </si>
  <si>
    <t xml:space="preserve">21:55:52</t>
  </si>
  <si>
    <t xml:space="preserve">21:56:46</t>
  </si>
  <si>
    <t xml:space="preserve">Aryane Vicentini Capenama</t>
  </si>
  <si>
    <t xml:space="preserve">22:03:26</t>
  </si>
  <si>
    <t xml:space="preserve">22:03:32</t>
  </si>
  <si>
    <t xml:space="preserve">Leo Guarda</t>
  </si>
  <si>
    <t xml:space="preserve">22:03:21</t>
  </si>
  <si>
    <t xml:space="preserve">22:03:35</t>
  </si>
  <si>
    <t xml:space="preserve">Gabriela Moreira</t>
  </si>
  <si>
    <t xml:space="preserve">22:53:58</t>
  </si>
  <si>
    <t xml:space="preserve">22:55:03</t>
  </si>
  <si>
    <t xml:space="preserve">Thamires Fechio</t>
  </si>
  <si>
    <t xml:space="preserve">19:50:14</t>
  </si>
  <si>
    <t xml:space="preserve">19:51:38</t>
  </si>
  <si>
    <t xml:space="preserve">Giovanna Galante</t>
  </si>
  <si>
    <t xml:space="preserve">19:52:46</t>
  </si>
  <si>
    <t xml:space="preserve">19:53:21</t>
  </si>
  <si>
    <t xml:space="preserve">Marina Toledo</t>
  </si>
  <si>
    <t xml:space="preserve">19:52:41</t>
  </si>
  <si>
    <t xml:space="preserve">19:54:46</t>
  </si>
  <si>
    <t xml:space="preserve">Fernando Conde</t>
  </si>
  <si>
    <t xml:space="preserve">21:37:23</t>
  </si>
  <si>
    <t xml:space="preserve">21:38:13</t>
  </si>
  <si>
    <t xml:space="preserve">Ana Paula Matile Cascelli</t>
  </si>
  <si>
    <t xml:space="preserve">22:30:01</t>
  </si>
  <si>
    <t xml:space="preserve">22:30:39</t>
  </si>
  <si>
    <t xml:space="preserve">Mateus Haddad</t>
  </si>
  <si>
    <t xml:space="preserve">22:29:55</t>
  </si>
  <si>
    <t xml:space="preserve">22:31:56</t>
  </si>
  <si>
    <t xml:space="preserve">Carolina Teixeira Pinto</t>
  </si>
  <si>
    <t xml:space="preserve">22:40:36</t>
  </si>
  <si>
    <t xml:space="preserve">22:41:07</t>
  </si>
  <si>
    <t xml:space="preserve">Fabricio GS</t>
  </si>
  <si>
    <t xml:space="preserve">19:40:51</t>
  </si>
  <si>
    <t xml:space="preserve">19:41:23</t>
  </si>
  <si>
    <t xml:space="preserve">Pedro Brunini</t>
  </si>
  <si>
    <t xml:space="preserve">21:06:49</t>
  </si>
  <si>
    <t xml:space="preserve">21:07:05</t>
  </si>
  <si>
    <t xml:space="preserve">Guilherme Fernandes</t>
  </si>
  <si>
    <t xml:space="preserve">21:06:45</t>
  </si>
  <si>
    <t xml:space="preserve">21:07:37</t>
  </si>
  <si>
    <t xml:space="preserve">Júlia Albertin</t>
  </si>
  <si>
    <t xml:space="preserve">Pareamento 1 para 1: cada avaliacao recebe o scan livre mais proximo dentro dos 10 minutos anteriores.</t>
  </si>
  <si>
    <t xml:space="preserve">Um scan so pode ser consumido uma vez. Linhas em vermelho: nota 3 ou menor.</t>
  </si>
  <si>
    <t xml:space="preserve">Dia da semana</t>
  </si>
  <si>
    <t xml:space="preserve">17:27:30</t>
  </si>
  <si>
    <t xml:space="preserve">17:30:21</t>
  </si>
  <si>
    <t xml:space="preserve">17:41:17</t>
  </si>
  <si>
    <t xml:space="preserve">21:24:52</t>
  </si>
  <si>
    <t xml:space="preserve">21:25:50</t>
  </si>
  <si>
    <t xml:space="preserve">18:56:05</t>
  </si>
  <si>
    <t xml:space="preserve">18:59:34</t>
  </si>
  <si>
    <t xml:space="preserve">19:11:20</t>
  </si>
  <si>
    <t xml:space="preserve">21:51:52</t>
  </si>
  <si>
    <t xml:space="preserve">22:51:28</t>
  </si>
  <si>
    <t xml:space="preserve">20:53:32</t>
  </si>
  <si>
    <t xml:space="preserve">21:22:26</t>
  </si>
  <si>
    <t xml:space="preserve">21:48:52</t>
  </si>
  <si>
    <t xml:space="preserve">21:54:59</t>
  </si>
  <si>
    <t xml:space="preserve">22:27:38</t>
  </si>
  <si>
    <t xml:space="preserve">22:35:28</t>
  </si>
  <si>
    <t xml:space="preserve">22:35:31</t>
  </si>
  <si>
    <t xml:space="preserve">22:48:26</t>
  </si>
  <si>
    <t xml:space="preserve">22:54:33</t>
  </si>
  <si>
    <t xml:space="preserve">19:41:56</t>
  </si>
  <si>
    <t xml:space="preserve">20:31:11</t>
  </si>
  <si>
    <t xml:space="preserve">22:56:20</t>
  </si>
  <si>
    <t xml:space="preserve">23:05:18</t>
  </si>
  <si>
    <t xml:space="preserve">23:15:40</t>
  </si>
  <si>
    <t xml:space="preserve">21:30:23</t>
  </si>
  <si>
    <t xml:space="preserve">20:45:37</t>
  </si>
  <si>
    <t xml:space="preserve">20:43:12</t>
  </si>
  <si>
    <t xml:space="preserve">20:43:16</t>
  </si>
  <si>
    <t xml:space="preserve">23:21:04</t>
  </si>
  <si>
    <t xml:space="preserve">19:32:02</t>
  </si>
  <si>
    <t xml:space="preserve">19:32:10</t>
  </si>
  <si>
    <t xml:space="preserve">22:09:35</t>
  </si>
  <si>
    <t xml:space="preserve">22:09:41</t>
  </si>
  <si>
    <t xml:space="preserve">22:15:01</t>
  </si>
  <si>
    <t xml:space="preserve">22:52:30</t>
  </si>
  <si>
    <t xml:space="preserve">23:11:03</t>
  </si>
  <si>
    <t xml:space="preserve">18:34:27</t>
  </si>
  <si>
    <t xml:space="preserve">18:34:33</t>
  </si>
  <si>
    <t xml:space="preserve">19:36:28</t>
  </si>
  <si>
    <t xml:space="preserve">20:15:21</t>
  </si>
  <si>
    <t xml:space="preserve">20:18:01</t>
  </si>
  <si>
    <t xml:space="preserve">20:18:10</t>
  </si>
  <si>
    <t xml:space="preserve">20:46:14</t>
  </si>
  <si>
    <t xml:space="preserve">20:46:45</t>
  </si>
  <si>
    <t xml:space="preserve">20:52:23</t>
  </si>
  <si>
    <t xml:space="preserve">21:23:18</t>
  </si>
  <si>
    <t xml:space="preserve">22:03:05</t>
  </si>
  <si>
    <t xml:space="preserve">22:24:44</t>
  </si>
  <si>
    <t xml:space="preserve">20:18:58</t>
  </si>
  <si>
    <t xml:space="preserve">20:19:13</t>
  </si>
  <si>
    <t xml:space="preserve">20:36:49</t>
  </si>
  <si>
    <t xml:space="preserve">21:13:34</t>
  </si>
  <si>
    <t xml:space="preserve">21:29:49</t>
  </si>
  <si>
    <t xml:space="preserve">21:59:28</t>
  </si>
  <si>
    <t xml:space="preserve">22:09:47</t>
  </si>
  <si>
    <t xml:space="preserve">13:14:33</t>
  </si>
  <si>
    <t xml:space="preserve">20:53:49</t>
  </si>
  <si>
    <t xml:space="preserve">22:14:36</t>
  </si>
  <si>
    <t xml:space="preserve">21:00:17</t>
  </si>
  <si>
    <t xml:space="preserve">21:24:35</t>
  </si>
  <si>
    <t xml:space="preserve">21:24:45</t>
  </si>
  <si>
    <t xml:space="preserve">21:32:08</t>
  </si>
  <si>
    <t xml:space="preserve">21:36:51</t>
  </si>
  <si>
    <t xml:space="preserve">22:03:39</t>
  </si>
  <si>
    <t xml:space="preserve">22:05:31</t>
  </si>
  <si>
    <t xml:space="preserve">21:22:40</t>
  </si>
  <si>
    <t xml:space="preserve">Scan limpo que nao gerou avaliacao publicada na janela. Cliente desistiu, nao estava logado, ou fechou a aba.</t>
  </si>
  <si>
    <t xml:space="preserve">Linhas em amarelo: scan antes das 18h, fora do horario de servico. Provavel teste da equipe.</t>
  </si>
  <si>
    <t xml:space="preserve">Hora</t>
  </si>
  <si>
    <t xml:space="preserve">19:28:35</t>
  </si>
  <si>
    <t xml:space="preserve">Clara Azevedo</t>
  </si>
  <si>
    <t xml:space="preserve">21:13:28</t>
  </si>
  <si>
    <t xml:space="preserve">Beatriz Longhim</t>
  </si>
  <si>
    <t xml:space="preserve">12:04:23</t>
  </si>
  <si>
    <t xml:space="preserve">Natalie Toys and Games</t>
  </si>
  <si>
    <t xml:space="preserve">22:22:03</t>
  </si>
  <si>
    <t xml:space="preserve">Redesdale</t>
  </si>
  <si>
    <t xml:space="preserve">21:59:22</t>
  </si>
  <si>
    <t xml:space="preserve">Larissa Carneiro</t>
  </si>
  <si>
    <t xml:space="preserve">23:37:10</t>
  </si>
  <si>
    <t xml:space="preserve">Ludmilla Malta</t>
  </si>
  <si>
    <t xml:space="preserve">22:40:52</t>
  </si>
  <si>
    <t xml:space="preserve">Andrew Moraes</t>
  </si>
  <si>
    <t xml:space="preserve">14:59:03</t>
  </si>
  <si>
    <t xml:space="preserve">José Victor Vasques</t>
  </si>
  <si>
    <t xml:space="preserve">00:30:42</t>
  </si>
  <si>
    <t xml:space="preserve">franco salvia</t>
  </si>
  <si>
    <t xml:space="preserve">00:33:17</t>
  </si>
  <si>
    <t xml:space="preserve">Maria Mubarack</t>
  </si>
  <si>
    <t xml:space="preserve">22:55:05</t>
  </si>
  <si>
    <t xml:space="preserve">Roberta Brahm</t>
  </si>
  <si>
    <t xml:space="preserve">22:55:10</t>
  </si>
  <si>
    <t xml:space="preserve">Leticia Eduarda</t>
  </si>
  <si>
    <t xml:space="preserve">22:41:12</t>
  </si>
  <si>
    <t xml:space="preserve">Mirella Sabino</t>
  </si>
  <si>
    <t xml:space="preserve">20:41:09</t>
  </si>
  <si>
    <t xml:space="preserve">Elisabeth</t>
  </si>
  <si>
    <t xml:space="preserve">Avaliacao publicada sem scan livre compativel. Organica, ou scan ja consumido por avaliacao anterior.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</si>
</sst>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.00"/>
    <numFmt numFmtId="167" formatCode="&quot;R$ &quot;#,##0.00"/>
    <numFmt numFmtId="168" formatCode="0"/>
    <numFmt numFmtId="169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E1E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CCCC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0A5A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A0A5A5"/>
      <rgbColor rgb="FF003366"/>
      <rgbColor rgb="FF339966"/>
      <rgbColor rgb="FF003300"/>
      <rgbColor rgb="FF333300"/>
      <rgbColor rgb="FF993300"/>
      <rgbColor rgb="FF993366"/>
      <rgbColor rgb="FF333399"/>
      <rgbColor rgb="FF1A1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9" min="8" style="0" width="13"/>
    <col collapsed="false" customWidth="true" hidden="false" outlineLevel="0" max="10" min="10" style="0" width="14"/>
    <col collapsed="false" customWidth="true" hidden="false" outlineLevel="0" max="13" min="13" style="0" width="20"/>
    <col collapsed="false" customWidth="true" hidden="false" outlineLevel="0" max="14" min="14" style="0" width="11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2" t="s">
        <v>10</v>
      </c>
    </row>
    <row r="2" customFormat="false" ht="15" hidden="false" customHeight="false" outlineLevel="0" collapsed="false">
      <c r="A2" s="3" t="s">
        <v>11</v>
      </c>
      <c r="B2" s="4" t="n">
        <v>104</v>
      </c>
      <c r="C2" s="4" t="n">
        <v>71</v>
      </c>
      <c r="D2" s="4" t="n">
        <v>33</v>
      </c>
      <c r="E2" s="5" t="n">
        <f aca="false">IF(B2=0,0,C2/B2)</f>
        <v>0.682692307692308</v>
      </c>
      <c r="F2" s="6" t="n">
        <v>4.86</v>
      </c>
      <c r="G2" s="7" t="n">
        <f aca="false">C2*$N$2</f>
        <v>142</v>
      </c>
      <c r="H2" s="7" t="n">
        <f aca="false">INT(C2/$N$4)*$N$3</f>
        <v>50</v>
      </c>
      <c r="I2" s="7" t="n">
        <f aca="false">G2+H2</f>
        <v>192</v>
      </c>
      <c r="J2" s="4" t="n">
        <f aca="false">$N$4-MOD(C2,$N$4)</f>
        <v>9</v>
      </c>
      <c r="M2" s="8" t="s">
        <v>12</v>
      </c>
      <c r="N2" s="9" t="n">
        <v>2</v>
      </c>
    </row>
    <row r="3" customFormat="false" ht="15" hidden="false" customHeight="false" outlineLevel="0" collapsed="false">
      <c r="A3" s="3" t="s">
        <v>13</v>
      </c>
      <c r="B3" s="4" t="n">
        <v>72</v>
      </c>
      <c r="C3" s="4" t="n">
        <v>41</v>
      </c>
      <c r="D3" s="4" t="n">
        <v>31</v>
      </c>
      <c r="E3" s="5" t="n">
        <f aca="false">IF(B3=0,0,C3/B3)</f>
        <v>0.569444444444444</v>
      </c>
      <c r="F3" s="6" t="n">
        <v>4.98</v>
      </c>
      <c r="G3" s="7" t="n">
        <f aca="false">C3*$N$2</f>
        <v>82</v>
      </c>
      <c r="H3" s="7" t="n">
        <f aca="false">INT(C3/$N$4)*$N$3</f>
        <v>50</v>
      </c>
      <c r="I3" s="7" t="n">
        <f aca="false">G3+H3</f>
        <v>132</v>
      </c>
      <c r="J3" s="4" t="n">
        <f aca="false">$N$4-MOD(C3,$N$4)</f>
        <v>39</v>
      </c>
      <c r="M3" s="8" t="s">
        <v>14</v>
      </c>
      <c r="N3" s="9" t="n">
        <v>50</v>
      </c>
    </row>
    <row r="4" customFormat="false" ht="15" hidden="false" customHeight="false" outlineLevel="0" collapsed="false">
      <c r="A4" s="3" t="s">
        <v>15</v>
      </c>
      <c r="B4" s="4" t="n">
        <v>2</v>
      </c>
      <c r="C4" s="4" t="n">
        <v>0</v>
      </c>
      <c r="D4" s="4" t="n">
        <v>2</v>
      </c>
      <c r="E4" s="5" t="n">
        <f aca="false">IF(B4=0,0,C4/B4)</f>
        <v>0</v>
      </c>
      <c r="F4" s="6" t="n">
        <v>0</v>
      </c>
      <c r="G4" s="7" t="n">
        <f aca="false">C4*$N$2</f>
        <v>0</v>
      </c>
      <c r="H4" s="7" t="n">
        <f aca="false">INT(C4/$N$4)*$N$3</f>
        <v>0</v>
      </c>
      <c r="I4" s="7" t="n">
        <f aca="false">G4+H4</f>
        <v>0</v>
      </c>
      <c r="J4" s="4" t="n">
        <f aca="false">$N$4-MOD(C4,$N$4)</f>
        <v>40</v>
      </c>
      <c r="M4" s="8" t="s">
        <v>16</v>
      </c>
      <c r="N4" s="10" t="n">
        <v>40</v>
      </c>
    </row>
    <row r="5" customFormat="false" ht="15" hidden="false" customHeight="false" outlineLevel="0" collapsed="false">
      <c r="A5" s="3" t="s">
        <v>17</v>
      </c>
      <c r="B5" s="4" t="n">
        <v>2</v>
      </c>
      <c r="C5" s="4" t="n">
        <v>0</v>
      </c>
      <c r="D5" s="4" t="n">
        <v>2</v>
      </c>
      <c r="E5" s="5" t="n">
        <f aca="false">IF(B5=0,0,C5/B5)</f>
        <v>0</v>
      </c>
      <c r="F5" s="6" t="n">
        <v>0</v>
      </c>
      <c r="G5" s="7" t="n">
        <f aca="false">C5*$N$2</f>
        <v>0</v>
      </c>
      <c r="H5" s="7" t="n">
        <f aca="false">INT(C5/$N$4)*$N$3</f>
        <v>0</v>
      </c>
      <c r="I5" s="7" t="n">
        <f aca="false">G5+H5</f>
        <v>0</v>
      </c>
      <c r="J5" s="4" t="n">
        <f aca="false">$N$4-MOD(C5,$N$4)</f>
        <v>40</v>
      </c>
    </row>
    <row r="6" customFormat="false" ht="15" hidden="false" customHeight="false" outlineLevel="0" collapsed="false">
      <c r="A6" s="2" t="s">
        <v>18</v>
      </c>
      <c r="B6" s="11" t="n">
        <f aca="false">SUM(B2:B5)</f>
        <v>180</v>
      </c>
      <c r="C6" s="11" t="n">
        <f aca="false">SUM(C2:C5)</f>
        <v>112</v>
      </c>
      <c r="D6" s="11" t="n">
        <f aca="false">SUM(D2:D5)</f>
        <v>68</v>
      </c>
      <c r="E6" s="12" t="n">
        <f aca="false">IF(B6=0,0,C6/B6)</f>
        <v>0.622222222222222</v>
      </c>
      <c r="G6" s="13" t="n">
        <f aca="false">SUM(G2:G5)</f>
        <v>224</v>
      </c>
      <c r="H6" s="13" t="n">
        <f aca="false">SUM(H2:H5)</f>
        <v>100</v>
      </c>
      <c r="I6" s="13" t="n">
        <f aca="false">SUM(I2:I5)</f>
        <v>324</v>
      </c>
    </row>
    <row r="8" customFormat="false" ht="15" hidden="false" customHeight="false" outlineLevel="0" collapsed="false">
      <c r="A8" s="2" t="s">
        <v>19</v>
      </c>
      <c r="C8" s="13" t="n">
        <f aca="false">IF(C6=0,0,I6/C6)</f>
        <v>2.89285714285714</v>
      </c>
    </row>
    <row r="10" customFormat="false" ht="15" hidden="false" customHeight="false" outlineLevel="0" collapsed="false">
      <c r="A10" s="14" t="s">
        <v>20</v>
      </c>
    </row>
    <row r="11" customFormat="false" ht="15" hidden="false" customHeight="false" outlineLevel="0" collapsed="false">
      <c r="A11" s="14" t="s">
        <v>21</v>
      </c>
    </row>
    <row r="12" customFormat="false" ht="15" hidden="false" customHeight="false" outlineLevel="0" collapsed="false">
      <c r="A12" s="14" t="s">
        <v>22</v>
      </c>
    </row>
    <row r="13" customFormat="false" ht="15" hidden="false" customHeight="false" outlineLevel="0" collapsed="false">
      <c r="A13" s="14" t="s">
        <v>23</v>
      </c>
    </row>
    <row r="14" customFormat="false" ht="15" hidden="false" customHeight="false" outlineLevel="0" collapsed="false">
      <c r="A14" s="14" t="s">
        <v>24</v>
      </c>
    </row>
    <row r="15" customFormat="false" ht="15" hidden="false" customHeight="false" outlineLevel="0" collapsed="false">
      <c r="A15" s="14" t="s">
        <v>25</v>
      </c>
    </row>
    <row r="16" customFormat="false" ht="15" hidden="false" customHeight="false" outlineLevel="0" collapsed="false">
      <c r="A16" s="1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7" min="3" style="0" width="9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11"/>
  </cols>
  <sheetData>
    <row r="1" customFormat="false" ht="30" hidden="false" customHeight="true" outlineLevel="0" collapsed="false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</row>
    <row r="2" customFormat="false" ht="15" hidden="false" customHeight="false" outlineLevel="0" collapsed="false">
      <c r="A2" s="15" t="s">
        <v>34</v>
      </c>
      <c r="B2" s="16" t="s">
        <v>35</v>
      </c>
      <c r="C2" s="16" t="n">
        <v>0</v>
      </c>
      <c r="D2" s="16" t="n">
        <v>0</v>
      </c>
      <c r="E2" s="16" t="n">
        <v>3</v>
      </c>
      <c r="F2" s="16" t="n">
        <v>0</v>
      </c>
      <c r="G2" s="16" t="n">
        <v>2</v>
      </c>
      <c r="H2" s="16" t="n">
        <f aca="false">C2+E2+G2</f>
        <v>5</v>
      </c>
      <c r="I2" s="16" t="n">
        <f aca="false">D2+F2</f>
        <v>0</v>
      </c>
      <c r="J2" s="16" t="n">
        <f aca="false">H2-I2</f>
        <v>5</v>
      </c>
      <c r="K2" s="17" t="n">
        <f aca="false">IF(H2=0,0,I2/H2)</f>
        <v>0</v>
      </c>
      <c r="L2" s="18" t="n">
        <v>0</v>
      </c>
    </row>
    <row r="3" customFormat="false" ht="15" hidden="false" customHeight="false" outlineLevel="0" collapsed="false">
      <c r="A3" s="3" t="s">
        <v>36</v>
      </c>
      <c r="B3" s="4" t="s">
        <v>37</v>
      </c>
      <c r="C3" s="4" t="n">
        <v>12</v>
      </c>
      <c r="D3" s="4" t="n">
        <v>8</v>
      </c>
      <c r="E3" s="4" t="n">
        <v>4</v>
      </c>
      <c r="F3" s="4" t="n">
        <v>2</v>
      </c>
      <c r="G3" s="4" t="n">
        <v>0</v>
      </c>
      <c r="H3" s="4" t="n">
        <f aca="false">C3+E3+G3</f>
        <v>16</v>
      </c>
      <c r="I3" s="4" t="n">
        <f aca="false">D3+F3</f>
        <v>10</v>
      </c>
      <c r="J3" s="4" t="n">
        <f aca="false">H3-I3</f>
        <v>6</v>
      </c>
      <c r="K3" s="5" t="n">
        <f aca="false">IF(H3=0,0,I3/H3)</f>
        <v>0.625</v>
      </c>
      <c r="L3" s="6" t="n">
        <v>5</v>
      </c>
    </row>
    <row r="4" customFormat="false" ht="15" hidden="false" customHeight="false" outlineLevel="0" collapsed="false">
      <c r="A4" s="3" t="s">
        <v>38</v>
      </c>
      <c r="B4" s="4" t="s">
        <v>39</v>
      </c>
      <c r="C4" s="4" t="n">
        <v>14</v>
      </c>
      <c r="D4" s="4" t="n">
        <v>11</v>
      </c>
      <c r="E4" s="4" t="n">
        <v>10</v>
      </c>
      <c r="F4" s="4" t="n">
        <v>4</v>
      </c>
      <c r="G4" s="4" t="n">
        <v>0</v>
      </c>
      <c r="H4" s="4" t="n">
        <f aca="false">C4+E4+G4</f>
        <v>24</v>
      </c>
      <c r="I4" s="4" t="n">
        <f aca="false">D4+F4</f>
        <v>15</v>
      </c>
      <c r="J4" s="4" t="n">
        <f aca="false">H4-I4</f>
        <v>9</v>
      </c>
      <c r="K4" s="5" t="n">
        <f aca="false">IF(H4=0,0,I4/H4)</f>
        <v>0.625</v>
      </c>
      <c r="L4" s="6" t="n">
        <v>4.93</v>
      </c>
    </row>
    <row r="5" customFormat="false" ht="15" hidden="false" customHeight="false" outlineLevel="0" collapsed="false">
      <c r="A5" s="3" t="s">
        <v>40</v>
      </c>
      <c r="B5" s="4" t="s">
        <v>41</v>
      </c>
      <c r="C5" s="4" t="n">
        <v>15</v>
      </c>
      <c r="D5" s="4" t="n">
        <v>11</v>
      </c>
      <c r="E5" s="4" t="n">
        <v>0</v>
      </c>
      <c r="F5" s="4" t="n">
        <v>0</v>
      </c>
      <c r="G5" s="4" t="n">
        <v>1</v>
      </c>
      <c r="H5" s="4" t="n">
        <f aca="false">C5+E5+G5</f>
        <v>16</v>
      </c>
      <c r="I5" s="4" t="n">
        <f aca="false">D5+F5</f>
        <v>11</v>
      </c>
      <c r="J5" s="4" t="n">
        <f aca="false">H5-I5</f>
        <v>5</v>
      </c>
      <c r="K5" s="5" t="n">
        <f aca="false">IF(H5=0,0,I5/H5)</f>
        <v>0.6875</v>
      </c>
      <c r="L5" s="6" t="n">
        <v>4.64</v>
      </c>
    </row>
    <row r="6" customFormat="false" ht="15" hidden="false" customHeight="false" outlineLevel="0" collapsed="false">
      <c r="A6" s="3" t="s">
        <v>42</v>
      </c>
      <c r="B6" s="4" t="s">
        <v>43</v>
      </c>
      <c r="C6" s="4" t="n">
        <v>4</v>
      </c>
      <c r="D6" s="4" t="n">
        <v>3</v>
      </c>
      <c r="E6" s="4" t="n">
        <v>2</v>
      </c>
      <c r="F6" s="4" t="n">
        <v>2</v>
      </c>
      <c r="G6" s="4" t="n">
        <v>0</v>
      </c>
      <c r="H6" s="4" t="n">
        <f aca="false">C6+E6+G6</f>
        <v>6</v>
      </c>
      <c r="I6" s="4" t="n">
        <f aca="false">D6+F6</f>
        <v>5</v>
      </c>
      <c r="J6" s="4" t="n">
        <f aca="false">H6-I6</f>
        <v>1</v>
      </c>
      <c r="K6" s="5" t="n">
        <f aca="false">IF(H6=0,0,I6/H6)</f>
        <v>0.833333333333333</v>
      </c>
      <c r="L6" s="6" t="n">
        <v>4.6</v>
      </c>
    </row>
    <row r="7" customFormat="false" ht="15" hidden="false" customHeight="false" outlineLevel="0" collapsed="false">
      <c r="A7" s="3" t="s">
        <v>44</v>
      </c>
      <c r="B7" s="4" t="s">
        <v>45</v>
      </c>
      <c r="C7" s="4" t="n">
        <v>0</v>
      </c>
      <c r="D7" s="4" t="n">
        <v>0</v>
      </c>
      <c r="E7" s="4" t="n">
        <v>3</v>
      </c>
      <c r="F7" s="4" t="n">
        <v>2</v>
      </c>
      <c r="G7" s="4" t="n">
        <v>0</v>
      </c>
      <c r="H7" s="4" t="n">
        <f aca="false">C7+E7+G7</f>
        <v>3</v>
      </c>
      <c r="I7" s="4" t="n">
        <f aca="false">D7+F7</f>
        <v>2</v>
      </c>
      <c r="J7" s="4" t="n">
        <f aca="false">H7-I7</f>
        <v>1</v>
      </c>
      <c r="K7" s="5" t="n">
        <f aca="false">IF(H7=0,0,I7/H7)</f>
        <v>0.666666666666667</v>
      </c>
      <c r="L7" s="6" t="n">
        <v>5</v>
      </c>
    </row>
    <row r="8" customFormat="false" ht="15" hidden="false" customHeight="false" outlineLevel="0" collapsed="false">
      <c r="A8" s="15" t="s">
        <v>46</v>
      </c>
      <c r="B8" s="16" t="s">
        <v>37</v>
      </c>
      <c r="C8" s="16" t="n">
        <v>1</v>
      </c>
      <c r="D8" s="16" t="n">
        <v>0</v>
      </c>
      <c r="E8" s="16" t="n">
        <v>2</v>
      </c>
      <c r="F8" s="16" t="n">
        <v>0</v>
      </c>
      <c r="G8" s="16" t="n">
        <v>0</v>
      </c>
      <c r="H8" s="16" t="n">
        <f aca="false">C8+E8+G8</f>
        <v>3</v>
      </c>
      <c r="I8" s="16" t="n">
        <f aca="false">D8+F8</f>
        <v>0</v>
      </c>
      <c r="J8" s="16" t="n">
        <f aca="false">H8-I8</f>
        <v>3</v>
      </c>
      <c r="K8" s="17" t="n">
        <f aca="false">IF(H8=0,0,I8/H8)</f>
        <v>0</v>
      </c>
      <c r="L8" s="18" t="n">
        <v>0</v>
      </c>
    </row>
    <row r="9" customFormat="false" ht="15" hidden="false" customHeight="false" outlineLevel="0" collapsed="false">
      <c r="A9" s="3" t="s">
        <v>47</v>
      </c>
      <c r="B9" s="4" t="s">
        <v>39</v>
      </c>
      <c r="C9" s="4" t="n">
        <v>12</v>
      </c>
      <c r="D9" s="4" t="n">
        <v>8</v>
      </c>
      <c r="E9" s="4" t="n">
        <v>11</v>
      </c>
      <c r="F9" s="4" t="n">
        <v>7</v>
      </c>
      <c r="G9" s="4" t="n">
        <v>0</v>
      </c>
      <c r="H9" s="4" t="n">
        <f aca="false">C9+E9+G9</f>
        <v>23</v>
      </c>
      <c r="I9" s="4" t="n">
        <f aca="false">D9+F9</f>
        <v>15</v>
      </c>
      <c r="J9" s="4" t="n">
        <f aca="false">H9-I9</f>
        <v>8</v>
      </c>
      <c r="K9" s="5" t="n">
        <f aca="false">IF(H9=0,0,I9/H9)</f>
        <v>0.652173913043478</v>
      </c>
      <c r="L9" s="6" t="n">
        <v>5</v>
      </c>
    </row>
    <row r="10" customFormat="false" ht="15" hidden="false" customHeight="false" outlineLevel="0" collapsed="false">
      <c r="A10" s="3" t="s">
        <v>48</v>
      </c>
      <c r="B10" s="4" t="s">
        <v>41</v>
      </c>
      <c r="C10" s="4" t="n">
        <v>21</v>
      </c>
      <c r="D10" s="4" t="n">
        <v>14</v>
      </c>
      <c r="E10" s="4" t="n">
        <v>14</v>
      </c>
      <c r="F10" s="4" t="n">
        <v>9</v>
      </c>
      <c r="G10" s="4" t="n">
        <v>0</v>
      </c>
      <c r="H10" s="4" t="n">
        <f aca="false">C10+E10+G10</f>
        <v>35</v>
      </c>
      <c r="I10" s="4" t="n">
        <f aca="false">D10+F10</f>
        <v>23</v>
      </c>
      <c r="J10" s="4" t="n">
        <f aca="false">H10-I10</f>
        <v>12</v>
      </c>
      <c r="K10" s="5" t="n">
        <f aca="false">IF(H10=0,0,I10/H10)</f>
        <v>0.657142857142857</v>
      </c>
      <c r="L10" s="6" t="n">
        <v>4.96</v>
      </c>
    </row>
    <row r="11" customFormat="false" ht="15" hidden="false" customHeight="false" outlineLevel="0" collapsed="false">
      <c r="A11" s="3" t="s">
        <v>49</v>
      </c>
      <c r="B11" s="4" t="s">
        <v>43</v>
      </c>
      <c r="C11" s="4" t="n">
        <v>11</v>
      </c>
      <c r="D11" s="4" t="n">
        <v>6</v>
      </c>
      <c r="E11" s="4" t="n">
        <v>6</v>
      </c>
      <c r="F11" s="4" t="n">
        <v>4</v>
      </c>
      <c r="G11" s="4" t="n">
        <v>0</v>
      </c>
      <c r="H11" s="4" t="n">
        <f aca="false">C11+E11+G11</f>
        <v>17</v>
      </c>
      <c r="I11" s="4" t="n">
        <f aca="false">D11+F11</f>
        <v>10</v>
      </c>
      <c r="J11" s="4" t="n">
        <f aca="false">H11-I11</f>
        <v>7</v>
      </c>
      <c r="K11" s="5" t="n">
        <f aca="false">IF(H11=0,0,I11/H11)</f>
        <v>0.588235294117647</v>
      </c>
      <c r="L11" s="6" t="n">
        <v>4.9</v>
      </c>
    </row>
    <row r="12" customFormat="false" ht="15" hidden="false" customHeight="false" outlineLevel="0" collapsed="false">
      <c r="A12" s="15" t="s">
        <v>50</v>
      </c>
      <c r="B12" s="16" t="s">
        <v>51</v>
      </c>
      <c r="C12" s="16" t="n">
        <v>0</v>
      </c>
      <c r="D12" s="16" t="n">
        <v>0</v>
      </c>
      <c r="E12" s="16" t="n">
        <v>1</v>
      </c>
      <c r="F12" s="16" t="n">
        <v>0</v>
      </c>
      <c r="G12" s="16" t="n">
        <v>0</v>
      </c>
      <c r="H12" s="16" t="n">
        <f aca="false">C12+E12+G12</f>
        <v>1</v>
      </c>
      <c r="I12" s="16" t="n">
        <f aca="false">D12+F12</f>
        <v>0</v>
      </c>
      <c r="J12" s="16" t="n">
        <f aca="false">H12-I12</f>
        <v>1</v>
      </c>
      <c r="K12" s="17" t="n">
        <f aca="false">IF(H12=0,0,I12/H12)</f>
        <v>0</v>
      </c>
      <c r="L12" s="18" t="n">
        <v>0</v>
      </c>
    </row>
    <row r="13" customFormat="false" ht="15" hidden="false" customHeight="false" outlineLevel="0" collapsed="false">
      <c r="A13" s="3" t="s">
        <v>52</v>
      </c>
      <c r="B13" s="4" t="s">
        <v>35</v>
      </c>
      <c r="C13" s="4" t="n">
        <v>0</v>
      </c>
      <c r="D13" s="4" t="n">
        <v>0</v>
      </c>
      <c r="E13" s="4" t="n">
        <v>7</v>
      </c>
      <c r="F13" s="4" t="n">
        <v>5</v>
      </c>
      <c r="G13" s="4" t="n">
        <v>0</v>
      </c>
      <c r="H13" s="4" t="n">
        <f aca="false">C13+E13+G13</f>
        <v>7</v>
      </c>
      <c r="I13" s="4" t="n">
        <f aca="false">D13+F13</f>
        <v>5</v>
      </c>
      <c r="J13" s="4" t="n">
        <f aca="false">H13-I13</f>
        <v>2</v>
      </c>
      <c r="K13" s="5" t="n">
        <f aca="false">IF(H13=0,0,I13/H13)</f>
        <v>0.714285714285714</v>
      </c>
      <c r="L13" s="6" t="n">
        <v>5</v>
      </c>
    </row>
    <row r="14" customFormat="false" ht="15" hidden="false" customHeight="false" outlineLevel="0" collapsed="false">
      <c r="A14" s="3" t="s">
        <v>53</v>
      </c>
      <c r="B14" s="4" t="s">
        <v>39</v>
      </c>
      <c r="C14" s="4" t="n">
        <v>9</v>
      </c>
      <c r="D14" s="4" t="n">
        <v>5</v>
      </c>
      <c r="E14" s="4" t="n">
        <v>3</v>
      </c>
      <c r="F14" s="4" t="n">
        <v>1</v>
      </c>
      <c r="G14" s="4" t="n">
        <v>0</v>
      </c>
      <c r="H14" s="4" t="n">
        <f aca="false">C14+E14+G14</f>
        <v>12</v>
      </c>
      <c r="I14" s="4" t="n">
        <f aca="false">D14+F14</f>
        <v>6</v>
      </c>
      <c r="J14" s="4" t="n">
        <f aca="false">H14-I14</f>
        <v>6</v>
      </c>
      <c r="K14" s="5" t="n">
        <f aca="false">IF(H14=0,0,I14/H14)</f>
        <v>0.5</v>
      </c>
      <c r="L14" s="6" t="n">
        <v>5</v>
      </c>
    </row>
    <row r="15" customFormat="false" ht="15" hidden="false" customHeight="false" outlineLevel="0" collapsed="false">
      <c r="A15" s="3" t="s">
        <v>54</v>
      </c>
      <c r="B15" s="4" t="s">
        <v>41</v>
      </c>
      <c r="C15" s="4" t="n">
        <v>5</v>
      </c>
      <c r="D15" s="4" t="n">
        <v>5</v>
      </c>
      <c r="E15" s="4" t="n">
        <v>2</v>
      </c>
      <c r="F15" s="4" t="n">
        <v>2</v>
      </c>
      <c r="G15" s="4" t="n">
        <v>1</v>
      </c>
      <c r="H15" s="4" t="n">
        <f aca="false">C15+E15+G15</f>
        <v>8</v>
      </c>
      <c r="I15" s="4" t="n">
        <f aca="false">D15+F15</f>
        <v>7</v>
      </c>
      <c r="J15" s="4" t="n">
        <f aca="false">H15-I15</f>
        <v>1</v>
      </c>
      <c r="K15" s="5" t="n">
        <f aca="false">IF(H15=0,0,I15/H15)</f>
        <v>0.875</v>
      </c>
      <c r="L15" s="6" t="n">
        <v>4.71</v>
      </c>
    </row>
    <row r="16" customFormat="false" ht="15" hidden="false" customHeight="false" outlineLevel="0" collapsed="false">
      <c r="A16" s="3" t="s">
        <v>55</v>
      </c>
      <c r="B16" s="4" t="s">
        <v>43</v>
      </c>
      <c r="C16" s="4" t="n">
        <v>0</v>
      </c>
      <c r="D16" s="4" t="n">
        <v>0</v>
      </c>
      <c r="E16" s="4" t="n">
        <v>4</v>
      </c>
      <c r="F16" s="4" t="n">
        <v>3</v>
      </c>
      <c r="G16" s="4" t="n">
        <v>0</v>
      </c>
      <c r="H16" s="4" t="n">
        <f aca="false">C16+E16+G16</f>
        <v>4</v>
      </c>
      <c r="I16" s="4" t="n">
        <f aca="false">D16+F16</f>
        <v>3</v>
      </c>
      <c r="J16" s="4" t="n">
        <f aca="false">H16-I16</f>
        <v>1</v>
      </c>
      <c r="K16" s="5" t="n">
        <f aca="false">IF(H16=0,0,I16/H16)</f>
        <v>0.75</v>
      </c>
      <c r="L16" s="6" t="n">
        <v>5</v>
      </c>
    </row>
    <row r="17" customFormat="false" ht="15" hidden="false" customHeight="false" outlineLevel="0" collapsed="false">
      <c r="A17" s="2" t="s">
        <v>18</v>
      </c>
      <c r="C17" s="11" t="n">
        <f aca="false">SUM(C2:C16)</f>
        <v>104</v>
      </c>
      <c r="D17" s="11" t="n">
        <f aca="false">SUM(D2:D16)</f>
        <v>71</v>
      </c>
      <c r="E17" s="11" t="n">
        <f aca="false">SUM(E2:E16)</f>
        <v>72</v>
      </c>
      <c r="F17" s="11" t="n">
        <f aca="false">SUM(F2:F16)</f>
        <v>41</v>
      </c>
      <c r="G17" s="11" t="n">
        <f aca="false">SUM(G2:G16)</f>
        <v>4</v>
      </c>
      <c r="H17" s="11" t="n">
        <f aca="false">SUM(H2:H16)</f>
        <v>180</v>
      </c>
      <c r="I17" s="11" t="n">
        <f aca="false">SUM(I2:I16)</f>
        <v>112</v>
      </c>
      <c r="J17" s="11" t="n">
        <f aca="false">SUM(J2:J16)</f>
        <v>68</v>
      </c>
      <c r="K17" s="12" t="n">
        <f aca="false">IF(H17=0,0,I17/H17)</f>
        <v>0.622222222222222</v>
      </c>
    </row>
    <row r="19" customFormat="false" ht="15" hidden="false" customHeight="false" outlineLevel="0" collapsed="false">
      <c r="A19" s="14" t="s">
        <v>56</v>
      </c>
    </row>
    <row r="20" customFormat="false" ht="15" hidden="false" customHeight="false" outlineLevel="0" collapsed="false">
      <c r="A20" s="14" t="s">
        <v>57</v>
      </c>
    </row>
    <row r="21" customFormat="false" ht="15" hidden="false" customHeight="false" outlineLevel="0" collapsed="false">
      <c r="A21" s="14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7" min="7" style="0" width="7"/>
    <col collapsed="false" customWidth="true" hidden="false" outlineLevel="0" max="8" min="8" style="0" width="30"/>
    <col collapsed="false" customWidth="true" hidden="false" outlineLevel="0" max="9" min="9" style="0" width="10"/>
  </cols>
  <sheetData>
    <row r="1" customFormat="false" ht="21.75" hidden="false" customHeight="true" outlineLevel="0" collapsed="false">
      <c r="A1" s="1" t="s">
        <v>59</v>
      </c>
      <c r="B1" s="1" t="s">
        <v>0</v>
      </c>
      <c r="C1" s="1" t="s">
        <v>27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</row>
    <row r="2" customFormat="false" ht="15" hidden="false" customHeight="false" outlineLevel="0" collapsed="false">
      <c r="A2" s="4" t="n">
        <v>1</v>
      </c>
      <c r="B2" s="3" t="s">
        <v>11</v>
      </c>
      <c r="C2" s="3" t="s">
        <v>36</v>
      </c>
      <c r="D2" s="4" t="s">
        <v>66</v>
      </c>
      <c r="E2" s="4" t="s">
        <v>67</v>
      </c>
      <c r="F2" s="6" t="n">
        <v>2.9</v>
      </c>
      <c r="G2" s="4" t="n">
        <v>5</v>
      </c>
      <c r="H2" s="3" t="s">
        <v>68</v>
      </c>
      <c r="I2" s="4" t="s">
        <v>69</v>
      </c>
    </row>
    <row r="3" customFormat="false" ht="15" hidden="false" customHeight="false" outlineLevel="0" collapsed="false">
      <c r="A3" s="4" t="n">
        <v>2</v>
      </c>
      <c r="B3" s="3" t="s">
        <v>11</v>
      </c>
      <c r="C3" s="3" t="s">
        <v>36</v>
      </c>
      <c r="D3" s="4" t="s">
        <v>70</v>
      </c>
      <c r="E3" s="4" t="s">
        <v>71</v>
      </c>
      <c r="F3" s="6" t="n">
        <v>0.78</v>
      </c>
      <c r="G3" s="4" t="n">
        <v>5</v>
      </c>
      <c r="H3" s="3" t="s">
        <v>72</v>
      </c>
      <c r="I3" s="4" t="s">
        <v>69</v>
      </c>
    </row>
    <row r="4" customFormat="false" ht="15" hidden="false" customHeight="false" outlineLevel="0" collapsed="false">
      <c r="A4" s="4" t="n">
        <v>3</v>
      </c>
      <c r="B4" s="3" t="s">
        <v>13</v>
      </c>
      <c r="C4" s="3" t="s">
        <v>36</v>
      </c>
      <c r="D4" s="4" t="s">
        <v>73</v>
      </c>
      <c r="E4" s="4" t="s">
        <v>74</v>
      </c>
      <c r="F4" s="6" t="n">
        <v>0.37</v>
      </c>
      <c r="G4" s="4" t="n">
        <v>5</v>
      </c>
      <c r="H4" s="3" t="s">
        <v>75</v>
      </c>
      <c r="I4" s="4" t="s">
        <v>69</v>
      </c>
    </row>
    <row r="5" customFormat="false" ht="15" hidden="false" customHeight="false" outlineLevel="0" collapsed="false">
      <c r="A5" s="4" t="n">
        <v>4</v>
      </c>
      <c r="B5" s="3" t="s">
        <v>11</v>
      </c>
      <c r="C5" s="3" t="s">
        <v>36</v>
      </c>
      <c r="D5" s="4" t="s">
        <v>76</v>
      </c>
      <c r="E5" s="4" t="s">
        <v>77</v>
      </c>
      <c r="F5" s="6" t="n">
        <v>3.59</v>
      </c>
      <c r="G5" s="4" t="n">
        <v>5</v>
      </c>
      <c r="H5" s="3" t="s">
        <v>78</v>
      </c>
      <c r="I5" s="4" t="s">
        <v>79</v>
      </c>
    </row>
    <row r="6" customFormat="false" ht="15" hidden="false" customHeight="false" outlineLevel="0" collapsed="false">
      <c r="A6" s="4" t="n">
        <v>5</v>
      </c>
      <c r="B6" s="3" t="s">
        <v>11</v>
      </c>
      <c r="C6" s="3" t="s">
        <v>36</v>
      </c>
      <c r="D6" s="4" t="s">
        <v>80</v>
      </c>
      <c r="E6" s="4" t="s">
        <v>81</v>
      </c>
      <c r="F6" s="6" t="n">
        <v>3.62</v>
      </c>
      <c r="G6" s="4" t="n">
        <v>5</v>
      </c>
      <c r="H6" s="3" t="s">
        <v>82</v>
      </c>
      <c r="I6" s="4" t="s">
        <v>79</v>
      </c>
    </row>
    <row r="7" customFormat="false" ht="15" hidden="false" customHeight="false" outlineLevel="0" collapsed="false">
      <c r="A7" s="4" t="n">
        <v>6</v>
      </c>
      <c r="B7" s="3" t="s">
        <v>11</v>
      </c>
      <c r="C7" s="3" t="s">
        <v>36</v>
      </c>
      <c r="D7" s="4" t="s">
        <v>83</v>
      </c>
      <c r="E7" s="4" t="s">
        <v>84</v>
      </c>
      <c r="F7" s="6" t="n">
        <v>0.7</v>
      </c>
      <c r="G7" s="4" t="n">
        <v>5</v>
      </c>
      <c r="H7" s="3" t="s">
        <v>85</v>
      </c>
      <c r="I7" s="4" t="s">
        <v>69</v>
      </c>
    </row>
    <row r="8" customFormat="false" ht="15" hidden="false" customHeight="false" outlineLevel="0" collapsed="false">
      <c r="A8" s="4" t="n">
        <v>7</v>
      </c>
      <c r="B8" s="3" t="s">
        <v>11</v>
      </c>
      <c r="C8" s="3" t="s">
        <v>36</v>
      </c>
      <c r="D8" s="4" t="s">
        <v>86</v>
      </c>
      <c r="E8" s="4" t="s">
        <v>87</v>
      </c>
      <c r="F8" s="6" t="n">
        <v>2.61</v>
      </c>
      <c r="G8" s="4" t="n">
        <v>5</v>
      </c>
      <c r="H8" s="3" t="s">
        <v>88</v>
      </c>
      <c r="I8" s="4" t="s">
        <v>79</v>
      </c>
    </row>
    <row r="9" customFormat="false" ht="15" hidden="false" customHeight="false" outlineLevel="0" collapsed="false">
      <c r="A9" s="4" t="n">
        <v>8</v>
      </c>
      <c r="B9" s="3" t="s">
        <v>11</v>
      </c>
      <c r="C9" s="3" t="s">
        <v>36</v>
      </c>
      <c r="D9" s="4" t="s">
        <v>89</v>
      </c>
      <c r="E9" s="4" t="s">
        <v>90</v>
      </c>
      <c r="F9" s="6" t="n">
        <v>4.62</v>
      </c>
      <c r="G9" s="4" t="n">
        <v>5</v>
      </c>
      <c r="H9" s="3" t="s">
        <v>91</v>
      </c>
      <c r="I9" s="4" t="s">
        <v>79</v>
      </c>
    </row>
    <row r="10" customFormat="false" ht="15" hidden="false" customHeight="false" outlineLevel="0" collapsed="false">
      <c r="A10" s="4" t="n">
        <v>9</v>
      </c>
      <c r="B10" s="3" t="s">
        <v>11</v>
      </c>
      <c r="C10" s="3" t="s">
        <v>36</v>
      </c>
      <c r="D10" s="4" t="s">
        <v>92</v>
      </c>
      <c r="E10" s="4" t="s">
        <v>93</v>
      </c>
      <c r="F10" s="6" t="n">
        <v>2.73</v>
      </c>
      <c r="G10" s="4" t="n">
        <v>5</v>
      </c>
      <c r="H10" s="3" t="s">
        <v>94</v>
      </c>
      <c r="I10" s="4" t="s">
        <v>69</v>
      </c>
    </row>
    <row r="11" customFormat="false" ht="15" hidden="false" customHeight="false" outlineLevel="0" collapsed="false">
      <c r="A11" s="4" t="n">
        <v>10</v>
      </c>
      <c r="B11" s="3" t="s">
        <v>13</v>
      </c>
      <c r="C11" s="3" t="s">
        <v>36</v>
      </c>
      <c r="D11" s="4" t="s">
        <v>95</v>
      </c>
      <c r="E11" s="4" t="s">
        <v>96</v>
      </c>
      <c r="F11" s="6" t="n">
        <v>1.1</v>
      </c>
      <c r="G11" s="4" t="n">
        <v>5</v>
      </c>
      <c r="H11" s="3" t="s">
        <v>97</v>
      </c>
      <c r="I11" s="4" t="s">
        <v>79</v>
      </c>
    </row>
    <row r="12" customFormat="false" ht="15" hidden="false" customHeight="false" outlineLevel="0" collapsed="false">
      <c r="A12" s="4" t="n">
        <v>11</v>
      </c>
      <c r="B12" s="3" t="s">
        <v>11</v>
      </c>
      <c r="C12" s="3" t="s">
        <v>38</v>
      </c>
      <c r="D12" s="4" t="s">
        <v>98</v>
      </c>
      <c r="E12" s="4" t="s">
        <v>99</v>
      </c>
      <c r="F12" s="6" t="n">
        <v>1.47</v>
      </c>
      <c r="G12" s="4" t="n">
        <v>5</v>
      </c>
      <c r="H12" s="3" t="s">
        <v>100</v>
      </c>
      <c r="I12" s="4" t="s">
        <v>69</v>
      </c>
    </row>
    <row r="13" customFormat="false" ht="15" hidden="false" customHeight="false" outlineLevel="0" collapsed="false">
      <c r="A13" s="4" t="n">
        <v>12</v>
      </c>
      <c r="B13" s="3" t="s">
        <v>11</v>
      </c>
      <c r="C13" s="3" t="s">
        <v>38</v>
      </c>
      <c r="D13" s="4" t="s">
        <v>101</v>
      </c>
      <c r="E13" s="4" t="s">
        <v>102</v>
      </c>
      <c r="F13" s="6" t="n">
        <v>0.32</v>
      </c>
      <c r="G13" s="4" t="n">
        <v>5</v>
      </c>
      <c r="H13" s="3" t="s">
        <v>103</v>
      </c>
      <c r="I13" s="4" t="s">
        <v>69</v>
      </c>
    </row>
    <row r="14" customFormat="false" ht="15" hidden="false" customHeight="false" outlineLevel="0" collapsed="false">
      <c r="A14" s="4" t="n">
        <v>13</v>
      </c>
      <c r="B14" s="3" t="s">
        <v>11</v>
      </c>
      <c r="C14" s="3" t="s">
        <v>38</v>
      </c>
      <c r="D14" s="4" t="s">
        <v>104</v>
      </c>
      <c r="E14" s="4" t="s">
        <v>105</v>
      </c>
      <c r="F14" s="6" t="n">
        <v>0.84</v>
      </c>
      <c r="G14" s="4" t="n">
        <v>5</v>
      </c>
      <c r="H14" s="3" t="s">
        <v>106</v>
      </c>
      <c r="I14" s="4" t="s">
        <v>79</v>
      </c>
    </row>
    <row r="15" customFormat="false" ht="15" hidden="false" customHeight="false" outlineLevel="0" collapsed="false">
      <c r="A15" s="4" t="n">
        <v>14</v>
      </c>
      <c r="B15" s="3" t="s">
        <v>13</v>
      </c>
      <c r="C15" s="3" t="s">
        <v>38</v>
      </c>
      <c r="D15" s="4" t="s">
        <v>107</v>
      </c>
      <c r="E15" s="4" t="s">
        <v>108</v>
      </c>
      <c r="F15" s="6" t="n">
        <v>0.19</v>
      </c>
      <c r="G15" s="4" t="n">
        <v>5</v>
      </c>
      <c r="H15" s="3" t="s">
        <v>109</v>
      </c>
      <c r="I15" s="4" t="s">
        <v>69</v>
      </c>
    </row>
    <row r="16" customFormat="false" ht="15" hidden="false" customHeight="false" outlineLevel="0" collapsed="false">
      <c r="A16" s="4" t="n">
        <v>15</v>
      </c>
      <c r="B16" s="3" t="s">
        <v>11</v>
      </c>
      <c r="C16" s="3" t="s">
        <v>38</v>
      </c>
      <c r="D16" s="4" t="s">
        <v>110</v>
      </c>
      <c r="E16" s="4" t="s">
        <v>111</v>
      </c>
      <c r="F16" s="6" t="n">
        <v>0.62</v>
      </c>
      <c r="G16" s="4" t="n">
        <v>5</v>
      </c>
      <c r="H16" s="3" t="s">
        <v>112</v>
      </c>
      <c r="I16" s="4" t="s">
        <v>79</v>
      </c>
    </row>
    <row r="17" customFormat="false" ht="15" hidden="false" customHeight="false" outlineLevel="0" collapsed="false">
      <c r="A17" s="4" t="n">
        <v>16</v>
      </c>
      <c r="B17" s="3" t="s">
        <v>11</v>
      </c>
      <c r="C17" s="3" t="s">
        <v>38</v>
      </c>
      <c r="D17" s="4" t="s">
        <v>113</v>
      </c>
      <c r="E17" s="4" t="s">
        <v>114</v>
      </c>
      <c r="F17" s="6" t="n">
        <v>0.79</v>
      </c>
      <c r="G17" s="4" t="n">
        <v>5</v>
      </c>
      <c r="H17" s="3" t="s">
        <v>115</v>
      </c>
      <c r="I17" s="4" t="s">
        <v>79</v>
      </c>
    </row>
    <row r="18" customFormat="false" ht="15" hidden="false" customHeight="false" outlineLevel="0" collapsed="false">
      <c r="A18" s="4" t="n">
        <v>17</v>
      </c>
      <c r="B18" s="3" t="s">
        <v>11</v>
      </c>
      <c r="C18" s="3" t="s">
        <v>38</v>
      </c>
      <c r="D18" s="4" t="s">
        <v>113</v>
      </c>
      <c r="E18" s="4" t="s">
        <v>116</v>
      </c>
      <c r="F18" s="6" t="n">
        <v>1.5</v>
      </c>
      <c r="G18" s="4" t="n">
        <v>5</v>
      </c>
      <c r="H18" s="3" t="s">
        <v>117</v>
      </c>
      <c r="I18" s="4" t="s">
        <v>79</v>
      </c>
    </row>
    <row r="19" customFormat="false" ht="15" hidden="false" customHeight="false" outlineLevel="0" collapsed="false">
      <c r="A19" s="4" t="n">
        <v>18</v>
      </c>
      <c r="B19" s="3" t="s">
        <v>13</v>
      </c>
      <c r="C19" s="3" t="s">
        <v>38</v>
      </c>
      <c r="D19" s="4" t="s">
        <v>118</v>
      </c>
      <c r="E19" s="4" t="s">
        <v>119</v>
      </c>
      <c r="F19" s="6" t="n">
        <v>0.82</v>
      </c>
      <c r="G19" s="4" t="n">
        <v>5</v>
      </c>
      <c r="H19" s="3" t="s">
        <v>120</v>
      </c>
      <c r="I19" s="4" t="s">
        <v>79</v>
      </c>
    </row>
    <row r="20" customFormat="false" ht="15" hidden="false" customHeight="false" outlineLevel="0" collapsed="false">
      <c r="A20" s="4" t="n">
        <v>19</v>
      </c>
      <c r="B20" s="3" t="s">
        <v>11</v>
      </c>
      <c r="C20" s="3" t="s">
        <v>38</v>
      </c>
      <c r="D20" s="4" t="s">
        <v>121</v>
      </c>
      <c r="E20" s="4" t="s">
        <v>122</v>
      </c>
      <c r="F20" s="6" t="n">
        <v>0.74</v>
      </c>
      <c r="G20" s="4" t="n">
        <v>4</v>
      </c>
      <c r="H20" s="3" t="s">
        <v>123</v>
      </c>
      <c r="I20" s="4" t="s">
        <v>69</v>
      </c>
    </row>
    <row r="21" customFormat="false" ht="15" hidden="false" customHeight="false" outlineLevel="0" collapsed="false">
      <c r="A21" s="4" t="n">
        <v>20</v>
      </c>
      <c r="B21" s="3" t="s">
        <v>11</v>
      </c>
      <c r="C21" s="3" t="s">
        <v>38</v>
      </c>
      <c r="D21" s="4" t="s">
        <v>124</v>
      </c>
      <c r="E21" s="4" t="s">
        <v>125</v>
      </c>
      <c r="F21" s="6" t="n">
        <v>0.26</v>
      </c>
      <c r="G21" s="4" t="n">
        <v>5</v>
      </c>
      <c r="H21" s="3" t="s">
        <v>126</v>
      </c>
      <c r="I21" s="4" t="s">
        <v>69</v>
      </c>
    </row>
    <row r="22" customFormat="false" ht="15" hidden="false" customHeight="false" outlineLevel="0" collapsed="false">
      <c r="A22" s="4" t="n">
        <v>21</v>
      </c>
      <c r="B22" s="3" t="s">
        <v>11</v>
      </c>
      <c r="C22" s="3" t="s">
        <v>38</v>
      </c>
      <c r="D22" s="4" t="s">
        <v>127</v>
      </c>
      <c r="E22" s="4" t="s">
        <v>128</v>
      </c>
      <c r="F22" s="6" t="n">
        <v>1.72</v>
      </c>
      <c r="G22" s="4" t="n">
        <v>5</v>
      </c>
      <c r="H22" s="3" t="s">
        <v>129</v>
      </c>
      <c r="I22" s="4" t="s">
        <v>69</v>
      </c>
    </row>
    <row r="23" customFormat="false" ht="15" hidden="false" customHeight="false" outlineLevel="0" collapsed="false">
      <c r="A23" s="4" t="n">
        <v>22</v>
      </c>
      <c r="B23" s="3" t="s">
        <v>13</v>
      </c>
      <c r="C23" s="3" t="s">
        <v>38</v>
      </c>
      <c r="D23" s="4" t="s">
        <v>130</v>
      </c>
      <c r="E23" s="4" t="s">
        <v>131</v>
      </c>
      <c r="F23" s="6" t="n">
        <v>0.18</v>
      </c>
      <c r="G23" s="4" t="n">
        <v>5</v>
      </c>
      <c r="H23" s="3" t="s">
        <v>132</v>
      </c>
      <c r="I23" s="4" t="s">
        <v>69</v>
      </c>
    </row>
    <row r="24" customFormat="false" ht="15" hidden="false" customHeight="false" outlineLevel="0" collapsed="false">
      <c r="A24" s="4" t="n">
        <v>23</v>
      </c>
      <c r="B24" s="3" t="s">
        <v>13</v>
      </c>
      <c r="C24" s="3" t="s">
        <v>38</v>
      </c>
      <c r="D24" s="4" t="s">
        <v>133</v>
      </c>
      <c r="E24" s="4" t="s">
        <v>134</v>
      </c>
      <c r="F24" s="6" t="n">
        <v>0.73</v>
      </c>
      <c r="G24" s="4" t="n">
        <v>5</v>
      </c>
      <c r="H24" s="3" t="s">
        <v>135</v>
      </c>
      <c r="I24" s="4" t="s">
        <v>69</v>
      </c>
    </row>
    <row r="25" customFormat="false" ht="15" hidden="false" customHeight="false" outlineLevel="0" collapsed="false">
      <c r="A25" s="4" t="n">
        <v>24</v>
      </c>
      <c r="B25" s="3" t="s">
        <v>11</v>
      </c>
      <c r="C25" s="3" t="s">
        <v>38</v>
      </c>
      <c r="D25" s="4" t="s">
        <v>136</v>
      </c>
      <c r="E25" s="4" t="s">
        <v>137</v>
      </c>
      <c r="F25" s="6" t="n">
        <v>1.09</v>
      </c>
      <c r="G25" s="4" t="n">
        <v>5</v>
      </c>
      <c r="H25" s="3" t="s">
        <v>138</v>
      </c>
      <c r="I25" s="4" t="s">
        <v>79</v>
      </c>
    </row>
    <row r="26" customFormat="false" ht="15" hidden="false" customHeight="false" outlineLevel="0" collapsed="false">
      <c r="A26" s="4" t="n">
        <v>25</v>
      </c>
      <c r="B26" s="3" t="s">
        <v>11</v>
      </c>
      <c r="C26" s="3" t="s">
        <v>38</v>
      </c>
      <c r="D26" s="4" t="s">
        <v>139</v>
      </c>
      <c r="E26" s="4" t="s">
        <v>140</v>
      </c>
      <c r="F26" s="6" t="n">
        <v>1.17</v>
      </c>
      <c r="G26" s="4" t="n">
        <v>5</v>
      </c>
      <c r="H26" s="3" t="s">
        <v>141</v>
      </c>
      <c r="I26" s="4" t="s">
        <v>79</v>
      </c>
    </row>
    <row r="27" customFormat="false" ht="15" hidden="false" customHeight="false" outlineLevel="0" collapsed="false">
      <c r="A27" s="4" t="n">
        <v>26</v>
      </c>
      <c r="B27" s="3" t="s">
        <v>11</v>
      </c>
      <c r="C27" s="3" t="s">
        <v>40</v>
      </c>
      <c r="D27" s="4" t="s">
        <v>142</v>
      </c>
      <c r="E27" s="4" t="s">
        <v>143</v>
      </c>
      <c r="F27" s="6" t="n">
        <v>0.62</v>
      </c>
      <c r="G27" s="4" t="n">
        <v>5</v>
      </c>
      <c r="H27" s="3" t="s">
        <v>144</v>
      </c>
      <c r="I27" s="4" t="s">
        <v>79</v>
      </c>
    </row>
    <row r="28" customFormat="false" ht="15" hidden="false" customHeight="false" outlineLevel="0" collapsed="false">
      <c r="A28" s="4" t="n">
        <v>27</v>
      </c>
      <c r="B28" s="3" t="s">
        <v>11</v>
      </c>
      <c r="C28" s="3" t="s">
        <v>40</v>
      </c>
      <c r="D28" s="4" t="s">
        <v>145</v>
      </c>
      <c r="E28" s="4" t="s">
        <v>146</v>
      </c>
      <c r="F28" s="6" t="n">
        <v>0.73</v>
      </c>
      <c r="G28" s="4" t="n">
        <v>5</v>
      </c>
      <c r="H28" s="3" t="s">
        <v>147</v>
      </c>
      <c r="I28" s="4" t="s">
        <v>69</v>
      </c>
    </row>
    <row r="29" customFormat="false" ht="15" hidden="false" customHeight="false" outlineLevel="0" collapsed="false">
      <c r="A29" s="4" t="n">
        <v>28</v>
      </c>
      <c r="B29" s="3" t="s">
        <v>11</v>
      </c>
      <c r="C29" s="3" t="s">
        <v>40</v>
      </c>
      <c r="D29" s="4" t="s">
        <v>148</v>
      </c>
      <c r="E29" s="4" t="s">
        <v>149</v>
      </c>
      <c r="F29" s="6" t="n">
        <v>0.9</v>
      </c>
      <c r="G29" s="4" t="n">
        <v>4</v>
      </c>
      <c r="H29" s="3" t="s">
        <v>150</v>
      </c>
      <c r="I29" s="4" t="s">
        <v>69</v>
      </c>
    </row>
    <row r="30" customFormat="false" ht="15" hidden="false" customHeight="false" outlineLevel="0" collapsed="false">
      <c r="A30" s="4" t="n">
        <v>29</v>
      </c>
      <c r="B30" s="3" t="s">
        <v>11</v>
      </c>
      <c r="C30" s="3" t="s">
        <v>40</v>
      </c>
      <c r="D30" s="4" t="s">
        <v>151</v>
      </c>
      <c r="E30" s="4" t="s">
        <v>152</v>
      </c>
      <c r="F30" s="6" t="n">
        <v>1.35</v>
      </c>
      <c r="G30" s="4" t="n">
        <v>5</v>
      </c>
      <c r="H30" s="3" t="s">
        <v>153</v>
      </c>
      <c r="I30" s="4" t="s">
        <v>79</v>
      </c>
    </row>
    <row r="31" customFormat="false" ht="15" hidden="false" customHeight="false" outlineLevel="0" collapsed="false">
      <c r="A31" s="4" t="n">
        <v>30</v>
      </c>
      <c r="B31" s="3" t="s">
        <v>11</v>
      </c>
      <c r="C31" s="3" t="s">
        <v>40</v>
      </c>
      <c r="D31" s="4" t="s">
        <v>154</v>
      </c>
      <c r="E31" s="4" t="s">
        <v>155</v>
      </c>
      <c r="F31" s="6" t="n">
        <v>0.58</v>
      </c>
      <c r="G31" s="4" t="n">
        <v>5</v>
      </c>
      <c r="H31" s="3" t="s">
        <v>156</v>
      </c>
      <c r="I31" s="4" t="s">
        <v>79</v>
      </c>
    </row>
    <row r="32" customFormat="false" ht="15" hidden="false" customHeight="false" outlineLevel="0" collapsed="false">
      <c r="A32" s="4" t="n">
        <v>31</v>
      </c>
      <c r="B32" s="3" t="s">
        <v>11</v>
      </c>
      <c r="C32" s="3" t="s">
        <v>40</v>
      </c>
      <c r="D32" s="4" t="s">
        <v>157</v>
      </c>
      <c r="E32" s="4" t="s">
        <v>158</v>
      </c>
      <c r="F32" s="6" t="n">
        <v>1.13</v>
      </c>
      <c r="G32" s="4" t="n">
        <v>5</v>
      </c>
      <c r="H32" s="3" t="s">
        <v>159</v>
      </c>
      <c r="I32" s="4" t="s">
        <v>79</v>
      </c>
    </row>
    <row r="33" customFormat="false" ht="15" hidden="false" customHeight="false" outlineLevel="0" collapsed="false">
      <c r="A33" s="4" t="n">
        <v>32</v>
      </c>
      <c r="B33" s="3" t="s">
        <v>11</v>
      </c>
      <c r="C33" s="3" t="s">
        <v>40</v>
      </c>
      <c r="D33" s="4" t="s">
        <v>160</v>
      </c>
      <c r="E33" s="4" t="s">
        <v>161</v>
      </c>
      <c r="F33" s="6" t="n">
        <v>2.27</v>
      </c>
      <c r="G33" s="4" t="n">
        <v>5</v>
      </c>
      <c r="H33" s="3" t="s">
        <v>162</v>
      </c>
      <c r="I33" s="4" t="s">
        <v>79</v>
      </c>
    </row>
    <row r="34" customFormat="false" ht="15" hidden="false" customHeight="false" outlineLevel="0" collapsed="false">
      <c r="A34" s="4" t="n">
        <v>33</v>
      </c>
      <c r="B34" s="3" t="s">
        <v>11</v>
      </c>
      <c r="C34" s="3" t="s">
        <v>40</v>
      </c>
      <c r="D34" s="4" t="s">
        <v>163</v>
      </c>
      <c r="E34" s="4" t="s">
        <v>164</v>
      </c>
      <c r="F34" s="6" t="n">
        <v>1.75</v>
      </c>
      <c r="G34" s="4" t="n">
        <v>4</v>
      </c>
      <c r="H34" s="3" t="s">
        <v>165</v>
      </c>
      <c r="I34" s="4" t="s">
        <v>69</v>
      </c>
    </row>
    <row r="35" customFormat="false" ht="15" hidden="false" customHeight="false" outlineLevel="0" collapsed="false">
      <c r="A35" s="4" t="n">
        <v>34</v>
      </c>
      <c r="B35" s="3" t="s">
        <v>11</v>
      </c>
      <c r="C35" s="3" t="s">
        <v>40</v>
      </c>
      <c r="D35" s="4" t="s">
        <v>166</v>
      </c>
      <c r="E35" s="4" t="s">
        <v>167</v>
      </c>
      <c r="F35" s="6" t="n">
        <v>1.91</v>
      </c>
      <c r="G35" s="4" t="n">
        <v>5</v>
      </c>
      <c r="H35" s="3" t="s">
        <v>168</v>
      </c>
      <c r="I35" s="4" t="s">
        <v>79</v>
      </c>
    </row>
    <row r="36" customFormat="false" ht="15" hidden="false" customHeight="false" outlineLevel="0" collapsed="false">
      <c r="A36" s="16" t="n">
        <v>35</v>
      </c>
      <c r="B36" s="15" t="s">
        <v>11</v>
      </c>
      <c r="C36" s="15" t="s">
        <v>40</v>
      </c>
      <c r="D36" s="16" t="s">
        <v>169</v>
      </c>
      <c r="E36" s="16" t="s">
        <v>170</v>
      </c>
      <c r="F36" s="18" t="n">
        <v>0.73</v>
      </c>
      <c r="G36" s="16" t="n">
        <v>3</v>
      </c>
      <c r="H36" s="15" t="s">
        <v>171</v>
      </c>
      <c r="I36" s="16" t="s">
        <v>69</v>
      </c>
    </row>
    <row r="37" customFormat="false" ht="15" hidden="false" customHeight="false" outlineLevel="0" collapsed="false">
      <c r="A37" s="4" t="n">
        <v>36</v>
      </c>
      <c r="B37" s="3" t="s">
        <v>11</v>
      </c>
      <c r="C37" s="3" t="s">
        <v>40</v>
      </c>
      <c r="D37" s="4" t="s">
        <v>172</v>
      </c>
      <c r="E37" s="4" t="s">
        <v>173</v>
      </c>
      <c r="F37" s="6" t="n">
        <v>0.73</v>
      </c>
      <c r="G37" s="4" t="n">
        <v>5</v>
      </c>
      <c r="H37" s="3" t="s">
        <v>174</v>
      </c>
      <c r="I37" s="4" t="s">
        <v>79</v>
      </c>
    </row>
    <row r="38" customFormat="false" ht="15" hidden="false" customHeight="false" outlineLevel="0" collapsed="false">
      <c r="A38" s="4" t="n">
        <v>37</v>
      </c>
      <c r="B38" s="3" t="s">
        <v>13</v>
      </c>
      <c r="C38" s="3" t="s">
        <v>42</v>
      </c>
      <c r="D38" s="4" t="s">
        <v>175</v>
      </c>
      <c r="E38" s="4" t="s">
        <v>176</v>
      </c>
      <c r="F38" s="6" t="n">
        <v>0.51</v>
      </c>
      <c r="G38" s="4" t="n">
        <v>5</v>
      </c>
      <c r="H38" s="3" t="s">
        <v>177</v>
      </c>
      <c r="I38" s="4" t="s">
        <v>79</v>
      </c>
    </row>
    <row r="39" customFormat="false" ht="15" hidden="false" customHeight="false" outlineLevel="0" collapsed="false">
      <c r="A39" s="4" t="n">
        <v>38</v>
      </c>
      <c r="B39" s="3" t="s">
        <v>13</v>
      </c>
      <c r="C39" s="3" t="s">
        <v>42</v>
      </c>
      <c r="D39" s="4" t="s">
        <v>175</v>
      </c>
      <c r="E39" s="4" t="s">
        <v>178</v>
      </c>
      <c r="F39" s="6" t="n">
        <v>0.92</v>
      </c>
      <c r="G39" s="4" t="n">
        <v>5</v>
      </c>
      <c r="H39" s="3" t="s">
        <v>179</v>
      </c>
      <c r="I39" s="4" t="s">
        <v>79</v>
      </c>
    </row>
    <row r="40" customFormat="false" ht="15" hidden="false" customHeight="false" outlineLevel="0" collapsed="false">
      <c r="A40" s="4" t="n">
        <v>39</v>
      </c>
      <c r="B40" s="3" t="s">
        <v>11</v>
      </c>
      <c r="C40" s="3" t="s">
        <v>42</v>
      </c>
      <c r="D40" s="4" t="s">
        <v>180</v>
      </c>
      <c r="E40" s="4" t="s">
        <v>181</v>
      </c>
      <c r="F40" s="6" t="n">
        <v>0.63</v>
      </c>
      <c r="G40" s="4" t="n">
        <v>5</v>
      </c>
      <c r="H40" s="3" t="s">
        <v>182</v>
      </c>
      <c r="I40" s="4" t="s">
        <v>69</v>
      </c>
    </row>
    <row r="41" customFormat="false" ht="15" hidden="false" customHeight="false" outlineLevel="0" collapsed="false">
      <c r="A41" s="4" t="n">
        <v>40</v>
      </c>
      <c r="B41" s="3" t="s">
        <v>11</v>
      </c>
      <c r="C41" s="3" t="s">
        <v>42</v>
      </c>
      <c r="D41" s="4" t="s">
        <v>183</v>
      </c>
      <c r="E41" s="4" t="s">
        <v>184</v>
      </c>
      <c r="F41" s="6" t="n">
        <v>0.81</v>
      </c>
      <c r="G41" s="4" t="n">
        <v>5</v>
      </c>
      <c r="H41" s="3" t="s">
        <v>185</v>
      </c>
      <c r="I41" s="4" t="s">
        <v>79</v>
      </c>
    </row>
    <row r="42" customFormat="false" ht="15" hidden="false" customHeight="false" outlineLevel="0" collapsed="false">
      <c r="A42" s="16" t="n">
        <v>41</v>
      </c>
      <c r="B42" s="15" t="s">
        <v>11</v>
      </c>
      <c r="C42" s="15" t="s">
        <v>42</v>
      </c>
      <c r="D42" s="16" t="s">
        <v>186</v>
      </c>
      <c r="E42" s="16" t="s">
        <v>187</v>
      </c>
      <c r="F42" s="18" t="n">
        <v>1.04</v>
      </c>
      <c r="G42" s="16" t="n">
        <v>3</v>
      </c>
      <c r="H42" s="15" t="s">
        <v>188</v>
      </c>
      <c r="I42" s="16" t="s">
        <v>69</v>
      </c>
    </row>
    <row r="43" customFormat="false" ht="15" hidden="false" customHeight="false" outlineLevel="0" collapsed="false">
      <c r="A43" s="4" t="n">
        <v>42</v>
      </c>
      <c r="B43" s="3" t="s">
        <v>13</v>
      </c>
      <c r="C43" s="3" t="s">
        <v>44</v>
      </c>
      <c r="D43" s="4" t="s">
        <v>189</v>
      </c>
      <c r="E43" s="4" t="s">
        <v>190</v>
      </c>
      <c r="F43" s="6" t="n">
        <v>2.35</v>
      </c>
      <c r="G43" s="4" t="n">
        <v>5</v>
      </c>
      <c r="H43" s="3" t="s">
        <v>191</v>
      </c>
      <c r="I43" s="4" t="s">
        <v>79</v>
      </c>
    </row>
    <row r="44" customFormat="false" ht="15" hidden="false" customHeight="false" outlineLevel="0" collapsed="false">
      <c r="A44" s="4" t="n">
        <v>43</v>
      </c>
      <c r="B44" s="3" t="s">
        <v>13</v>
      </c>
      <c r="C44" s="3" t="s">
        <v>44</v>
      </c>
      <c r="D44" s="4" t="s">
        <v>192</v>
      </c>
      <c r="E44" s="4" t="s">
        <v>193</v>
      </c>
      <c r="F44" s="6" t="n">
        <v>0.56</v>
      </c>
      <c r="G44" s="4" t="n">
        <v>5</v>
      </c>
      <c r="H44" s="3" t="s">
        <v>194</v>
      </c>
      <c r="I44" s="4" t="s">
        <v>79</v>
      </c>
    </row>
    <row r="45" customFormat="false" ht="15" hidden="false" customHeight="false" outlineLevel="0" collapsed="false">
      <c r="A45" s="4" t="n">
        <v>44</v>
      </c>
      <c r="B45" s="3" t="s">
        <v>13</v>
      </c>
      <c r="C45" s="3" t="s">
        <v>47</v>
      </c>
      <c r="D45" s="4" t="s">
        <v>195</v>
      </c>
      <c r="E45" s="4" t="s">
        <v>196</v>
      </c>
      <c r="F45" s="6" t="n">
        <v>0.04</v>
      </c>
      <c r="G45" s="4" t="n">
        <v>5</v>
      </c>
      <c r="H45" s="3" t="s">
        <v>197</v>
      </c>
      <c r="I45" s="4" t="s">
        <v>79</v>
      </c>
    </row>
    <row r="46" customFormat="false" ht="15" hidden="false" customHeight="false" outlineLevel="0" collapsed="false">
      <c r="A46" s="4" t="n">
        <v>45</v>
      </c>
      <c r="B46" s="3" t="s">
        <v>11</v>
      </c>
      <c r="C46" s="3" t="s">
        <v>47</v>
      </c>
      <c r="D46" s="4" t="s">
        <v>198</v>
      </c>
      <c r="E46" s="4" t="s">
        <v>199</v>
      </c>
      <c r="F46" s="6" t="n">
        <v>0.74</v>
      </c>
      <c r="G46" s="4" t="n">
        <v>5</v>
      </c>
      <c r="H46" s="3" t="s">
        <v>200</v>
      </c>
      <c r="I46" s="4" t="s">
        <v>79</v>
      </c>
    </row>
    <row r="47" customFormat="false" ht="15" hidden="false" customHeight="false" outlineLevel="0" collapsed="false">
      <c r="A47" s="4" t="n">
        <v>46</v>
      </c>
      <c r="B47" s="3" t="s">
        <v>11</v>
      </c>
      <c r="C47" s="3" t="s">
        <v>47</v>
      </c>
      <c r="D47" s="4" t="s">
        <v>201</v>
      </c>
      <c r="E47" s="4" t="s">
        <v>202</v>
      </c>
      <c r="F47" s="6" t="n">
        <v>0.89</v>
      </c>
      <c r="G47" s="4" t="n">
        <v>5</v>
      </c>
      <c r="H47" s="3" t="s">
        <v>203</v>
      </c>
      <c r="I47" s="4" t="s">
        <v>79</v>
      </c>
    </row>
    <row r="48" customFormat="false" ht="15" hidden="false" customHeight="false" outlineLevel="0" collapsed="false">
      <c r="A48" s="4" t="n">
        <v>47</v>
      </c>
      <c r="B48" s="3" t="s">
        <v>13</v>
      </c>
      <c r="C48" s="3" t="s">
        <v>47</v>
      </c>
      <c r="D48" s="4" t="s">
        <v>204</v>
      </c>
      <c r="E48" s="4" t="s">
        <v>205</v>
      </c>
      <c r="F48" s="6" t="n">
        <v>0.83</v>
      </c>
      <c r="G48" s="4" t="n">
        <v>5</v>
      </c>
      <c r="H48" s="3" t="s">
        <v>206</v>
      </c>
      <c r="I48" s="4" t="s">
        <v>79</v>
      </c>
    </row>
    <row r="49" customFormat="false" ht="15" hidden="false" customHeight="false" outlineLevel="0" collapsed="false">
      <c r="A49" s="4" t="n">
        <v>48</v>
      </c>
      <c r="B49" s="3" t="s">
        <v>13</v>
      </c>
      <c r="C49" s="3" t="s">
        <v>47</v>
      </c>
      <c r="D49" s="4" t="s">
        <v>207</v>
      </c>
      <c r="E49" s="4" t="s">
        <v>208</v>
      </c>
      <c r="F49" s="6" t="n">
        <v>1.72</v>
      </c>
      <c r="G49" s="4" t="n">
        <v>5</v>
      </c>
      <c r="H49" s="3" t="s">
        <v>209</v>
      </c>
      <c r="I49" s="4" t="s">
        <v>79</v>
      </c>
    </row>
    <row r="50" customFormat="false" ht="15" hidden="false" customHeight="false" outlineLevel="0" collapsed="false">
      <c r="A50" s="4" t="n">
        <v>49</v>
      </c>
      <c r="B50" s="3" t="s">
        <v>11</v>
      </c>
      <c r="C50" s="3" t="s">
        <v>47</v>
      </c>
      <c r="D50" s="4" t="s">
        <v>210</v>
      </c>
      <c r="E50" s="4" t="s">
        <v>211</v>
      </c>
      <c r="F50" s="6" t="n">
        <v>0.71</v>
      </c>
      <c r="G50" s="4" t="n">
        <v>5</v>
      </c>
      <c r="H50" s="3" t="s">
        <v>212</v>
      </c>
      <c r="I50" s="4" t="s">
        <v>79</v>
      </c>
    </row>
    <row r="51" customFormat="false" ht="15" hidden="false" customHeight="false" outlineLevel="0" collapsed="false">
      <c r="A51" s="4" t="n">
        <v>50</v>
      </c>
      <c r="B51" s="3" t="s">
        <v>13</v>
      </c>
      <c r="C51" s="3" t="s">
        <v>47</v>
      </c>
      <c r="D51" s="4" t="s">
        <v>213</v>
      </c>
      <c r="E51" s="4" t="s">
        <v>214</v>
      </c>
      <c r="F51" s="6" t="n">
        <v>1.2</v>
      </c>
      <c r="G51" s="4" t="n">
        <v>5</v>
      </c>
      <c r="H51" s="3" t="s">
        <v>215</v>
      </c>
      <c r="I51" s="4" t="s">
        <v>79</v>
      </c>
    </row>
    <row r="52" customFormat="false" ht="15" hidden="false" customHeight="false" outlineLevel="0" collapsed="false">
      <c r="A52" s="4" t="n">
        <v>51</v>
      </c>
      <c r="B52" s="3" t="s">
        <v>11</v>
      </c>
      <c r="C52" s="3" t="s">
        <v>47</v>
      </c>
      <c r="D52" s="4" t="s">
        <v>216</v>
      </c>
      <c r="E52" s="4" t="s">
        <v>217</v>
      </c>
      <c r="F52" s="6" t="n">
        <v>1.42</v>
      </c>
      <c r="G52" s="4" t="n">
        <v>5</v>
      </c>
      <c r="H52" s="3" t="s">
        <v>218</v>
      </c>
      <c r="I52" s="4" t="s">
        <v>79</v>
      </c>
    </row>
    <row r="53" customFormat="false" ht="15" hidden="false" customHeight="false" outlineLevel="0" collapsed="false">
      <c r="A53" s="4" t="n">
        <v>52</v>
      </c>
      <c r="B53" s="3" t="s">
        <v>13</v>
      </c>
      <c r="C53" s="3" t="s">
        <v>47</v>
      </c>
      <c r="D53" s="4" t="s">
        <v>219</v>
      </c>
      <c r="E53" s="4" t="s">
        <v>220</v>
      </c>
      <c r="F53" s="6" t="n">
        <v>1.42</v>
      </c>
      <c r="G53" s="4" t="n">
        <v>5</v>
      </c>
      <c r="H53" s="3" t="s">
        <v>221</v>
      </c>
      <c r="I53" s="4" t="s">
        <v>79</v>
      </c>
    </row>
    <row r="54" customFormat="false" ht="15" hidden="false" customHeight="false" outlineLevel="0" collapsed="false">
      <c r="A54" s="4" t="n">
        <v>53</v>
      </c>
      <c r="B54" s="3" t="s">
        <v>11</v>
      </c>
      <c r="C54" s="3" t="s">
        <v>47</v>
      </c>
      <c r="D54" s="4" t="s">
        <v>222</v>
      </c>
      <c r="E54" s="4" t="s">
        <v>223</v>
      </c>
      <c r="F54" s="6" t="n">
        <v>2.57</v>
      </c>
      <c r="G54" s="4" t="n">
        <v>5</v>
      </c>
      <c r="H54" s="3" t="s">
        <v>224</v>
      </c>
      <c r="I54" s="4" t="s">
        <v>79</v>
      </c>
    </row>
    <row r="55" customFormat="false" ht="15" hidden="false" customHeight="false" outlineLevel="0" collapsed="false">
      <c r="A55" s="4" t="n">
        <v>54</v>
      </c>
      <c r="B55" s="3" t="s">
        <v>11</v>
      </c>
      <c r="C55" s="3" t="s">
        <v>47</v>
      </c>
      <c r="D55" s="4" t="s">
        <v>225</v>
      </c>
      <c r="E55" s="4" t="s">
        <v>226</v>
      </c>
      <c r="F55" s="6" t="n">
        <v>5.16</v>
      </c>
      <c r="G55" s="4" t="n">
        <v>5</v>
      </c>
      <c r="H55" s="3" t="s">
        <v>227</v>
      </c>
      <c r="I55" s="4" t="s">
        <v>79</v>
      </c>
    </row>
    <row r="56" customFormat="false" ht="15" hidden="false" customHeight="false" outlineLevel="0" collapsed="false">
      <c r="A56" s="4" t="n">
        <v>55</v>
      </c>
      <c r="B56" s="3" t="s">
        <v>11</v>
      </c>
      <c r="C56" s="3" t="s">
        <v>47</v>
      </c>
      <c r="D56" s="4" t="s">
        <v>228</v>
      </c>
      <c r="E56" s="4" t="s">
        <v>229</v>
      </c>
      <c r="F56" s="6" t="n">
        <v>7.64</v>
      </c>
      <c r="G56" s="4" t="n">
        <v>5</v>
      </c>
      <c r="H56" s="3" t="s">
        <v>230</v>
      </c>
      <c r="I56" s="4" t="s">
        <v>79</v>
      </c>
    </row>
    <row r="57" customFormat="false" ht="15" hidden="false" customHeight="false" outlineLevel="0" collapsed="false">
      <c r="A57" s="4" t="n">
        <v>56</v>
      </c>
      <c r="B57" s="3" t="s">
        <v>13</v>
      </c>
      <c r="C57" s="3" t="s">
        <v>47</v>
      </c>
      <c r="D57" s="4" t="s">
        <v>231</v>
      </c>
      <c r="E57" s="4" t="s">
        <v>232</v>
      </c>
      <c r="F57" s="6" t="n">
        <v>0.21</v>
      </c>
      <c r="G57" s="4" t="n">
        <v>5</v>
      </c>
      <c r="H57" s="3" t="s">
        <v>233</v>
      </c>
      <c r="I57" s="4" t="s">
        <v>69</v>
      </c>
    </row>
    <row r="58" customFormat="false" ht="15" hidden="false" customHeight="false" outlineLevel="0" collapsed="false">
      <c r="A58" s="4" t="n">
        <v>57</v>
      </c>
      <c r="B58" s="3" t="s">
        <v>11</v>
      </c>
      <c r="C58" s="3" t="s">
        <v>47</v>
      </c>
      <c r="D58" s="4" t="s">
        <v>234</v>
      </c>
      <c r="E58" s="4" t="s">
        <v>235</v>
      </c>
      <c r="F58" s="6" t="n">
        <v>0.14</v>
      </c>
      <c r="G58" s="4" t="n">
        <v>5</v>
      </c>
      <c r="H58" s="3" t="s">
        <v>236</v>
      </c>
      <c r="I58" s="4" t="s">
        <v>69</v>
      </c>
    </row>
    <row r="59" customFormat="false" ht="15" hidden="false" customHeight="false" outlineLevel="0" collapsed="false">
      <c r="A59" s="4" t="n">
        <v>58</v>
      </c>
      <c r="B59" s="3" t="s">
        <v>13</v>
      </c>
      <c r="C59" s="3" t="s">
        <v>47</v>
      </c>
      <c r="D59" s="4" t="s">
        <v>237</v>
      </c>
      <c r="E59" s="4" t="s">
        <v>238</v>
      </c>
      <c r="F59" s="6" t="n">
        <v>1.05</v>
      </c>
      <c r="G59" s="4" t="n">
        <v>5</v>
      </c>
      <c r="H59" s="3" t="s">
        <v>239</v>
      </c>
      <c r="I59" s="4" t="s">
        <v>69</v>
      </c>
    </row>
    <row r="60" customFormat="false" ht="15" hidden="false" customHeight="false" outlineLevel="0" collapsed="false">
      <c r="A60" s="4" t="n">
        <v>59</v>
      </c>
      <c r="B60" s="3" t="s">
        <v>11</v>
      </c>
      <c r="C60" s="3" t="s">
        <v>48</v>
      </c>
      <c r="D60" s="4" t="s">
        <v>240</v>
      </c>
      <c r="E60" s="4" t="s">
        <v>241</v>
      </c>
      <c r="F60" s="6" t="n">
        <v>1.04</v>
      </c>
      <c r="G60" s="4" t="n">
        <v>5</v>
      </c>
      <c r="H60" s="3" t="s">
        <v>242</v>
      </c>
      <c r="I60" s="4" t="s">
        <v>79</v>
      </c>
    </row>
    <row r="61" customFormat="false" ht="15" hidden="false" customHeight="false" outlineLevel="0" collapsed="false">
      <c r="A61" s="4" t="n">
        <v>60</v>
      </c>
      <c r="B61" s="3" t="s">
        <v>11</v>
      </c>
      <c r="C61" s="3" t="s">
        <v>48</v>
      </c>
      <c r="D61" s="4" t="s">
        <v>243</v>
      </c>
      <c r="E61" s="4" t="s">
        <v>244</v>
      </c>
      <c r="F61" s="6" t="n">
        <v>0.15</v>
      </c>
      <c r="G61" s="4" t="n">
        <v>5</v>
      </c>
      <c r="H61" s="3" t="s">
        <v>245</v>
      </c>
      <c r="I61" s="4" t="s">
        <v>69</v>
      </c>
    </row>
    <row r="62" customFormat="false" ht="15" hidden="false" customHeight="false" outlineLevel="0" collapsed="false">
      <c r="A62" s="4" t="n">
        <v>61</v>
      </c>
      <c r="B62" s="3" t="s">
        <v>11</v>
      </c>
      <c r="C62" s="3" t="s">
        <v>48</v>
      </c>
      <c r="D62" s="4" t="s">
        <v>246</v>
      </c>
      <c r="E62" s="4" t="s">
        <v>247</v>
      </c>
      <c r="F62" s="6" t="n">
        <v>1.62</v>
      </c>
      <c r="G62" s="4" t="n">
        <v>5</v>
      </c>
      <c r="H62" s="3" t="s">
        <v>248</v>
      </c>
      <c r="I62" s="4" t="s">
        <v>79</v>
      </c>
    </row>
    <row r="63" customFormat="false" ht="15" hidden="false" customHeight="false" outlineLevel="0" collapsed="false">
      <c r="A63" s="4" t="n">
        <v>62</v>
      </c>
      <c r="B63" s="3" t="s">
        <v>11</v>
      </c>
      <c r="C63" s="3" t="s">
        <v>48</v>
      </c>
      <c r="D63" s="4" t="s">
        <v>249</v>
      </c>
      <c r="E63" s="4" t="s">
        <v>250</v>
      </c>
      <c r="F63" s="6" t="n">
        <v>1.23</v>
      </c>
      <c r="G63" s="4" t="n">
        <v>5</v>
      </c>
      <c r="H63" s="3" t="s">
        <v>251</v>
      </c>
      <c r="I63" s="4" t="s">
        <v>69</v>
      </c>
    </row>
    <row r="64" customFormat="false" ht="15" hidden="false" customHeight="false" outlineLevel="0" collapsed="false">
      <c r="A64" s="4" t="n">
        <v>63</v>
      </c>
      <c r="B64" s="3" t="s">
        <v>11</v>
      </c>
      <c r="C64" s="3" t="s">
        <v>48</v>
      </c>
      <c r="D64" s="4" t="s">
        <v>252</v>
      </c>
      <c r="E64" s="4" t="s">
        <v>253</v>
      </c>
      <c r="F64" s="6" t="n">
        <v>0.16</v>
      </c>
      <c r="G64" s="4" t="n">
        <v>5</v>
      </c>
      <c r="H64" s="3" t="s">
        <v>254</v>
      </c>
      <c r="I64" s="4" t="s">
        <v>79</v>
      </c>
    </row>
    <row r="65" customFormat="false" ht="15" hidden="false" customHeight="false" outlineLevel="0" collapsed="false">
      <c r="A65" s="4" t="n">
        <v>64</v>
      </c>
      <c r="B65" s="3" t="s">
        <v>13</v>
      </c>
      <c r="C65" s="3" t="s">
        <v>48</v>
      </c>
      <c r="D65" s="4" t="s">
        <v>255</v>
      </c>
      <c r="E65" s="4" t="s">
        <v>256</v>
      </c>
      <c r="F65" s="6" t="n">
        <v>0.35</v>
      </c>
      <c r="G65" s="4" t="n">
        <v>5</v>
      </c>
      <c r="H65" s="3" t="s">
        <v>257</v>
      </c>
      <c r="I65" s="4" t="s">
        <v>79</v>
      </c>
    </row>
    <row r="66" customFormat="false" ht="15" hidden="false" customHeight="false" outlineLevel="0" collapsed="false">
      <c r="A66" s="4" t="n">
        <v>65</v>
      </c>
      <c r="B66" s="3" t="s">
        <v>11</v>
      </c>
      <c r="C66" s="3" t="s">
        <v>48</v>
      </c>
      <c r="D66" s="4" t="s">
        <v>258</v>
      </c>
      <c r="E66" s="4" t="s">
        <v>259</v>
      </c>
      <c r="F66" s="6" t="n">
        <v>4.37</v>
      </c>
      <c r="G66" s="4" t="n">
        <v>5</v>
      </c>
      <c r="H66" s="3" t="s">
        <v>260</v>
      </c>
      <c r="I66" s="4" t="s">
        <v>79</v>
      </c>
    </row>
    <row r="67" customFormat="false" ht="15" hidden="false" customHeight="false" outlineLevel="0" collapsed="false">
      <c r="A67" s="4" t="n">
        <v>66</v>
      </c>
      <c r="B67" s="3" t="s">
        <v>11</v>
      </c>
      <c r="C67" s="3" t="s">
        <v>48</v>
      </c>
      <c r="D67" s="4" t="s">
        <v>261</v>
      </c>
      <c r="E67" s="4" t="s">
        <v>262</v>
      </c>
      <c r="F67" s="6" t="n">
        <v>1.1</v>
      </c>
      <c r="G67" s="4" t="n">
        <v>5</v>
      </c>
      <c r="H67" s="3" t="s">
        <v>263</v>
      </c>
      <c r="I67" s="4" t="s">
        <v>79</v>
      </c>
    </row>
    <row r="68" customFormat="false" ht="15" hidden="false" customHeight="false" outlineLevel="0" collapsed="false">
      <c r="A68" s="4" t="n">
        <v>67</v>
      </c>
      <c r="B68" s="3" t="s">
        <v>11</v>
      </c>
      <c r="C68" s="3" t="s">
        <v>48</v>
      </c>
      <c r="D68" s="4" t="s">
        <v>264</v>
      </c>
      <c r="E68" s="4" t="s">
        <v>265</v>
      </c>
      <c r="F68" s="6" t="n">
        <v>0.9</v>
      </c>
      <c r="G68" s="4" t="n">
        <v>5</v>
      </c>
      <c r="H68" s="3" t="s">
        <v>266</v>
      </c>
      <c r="I68" s="4" t="s">
        <v>79</v>
      </c>
    </row>
    <row r="69" customFormat="false" ht="15" hidden="false" customHeight="false" outlineLevel="0" collapsed="false">
      <c r="A69" s="4" t="n">
        <v>68</v>
      </c>
      <c r="B69" s="3" t="s">
        <v>11</v>
      </c>
      <c r="C69" s="3" t="s">
        <v>48</v>
      </c>
      <c r="D69" s="4" t="s">
        <v>267</v>
      </c>
      <c r="E69" s="4" t="s">
        <v>268</v>
      </c>
      <c r="F69" s="6" t="n">
        <v>1.12</v>
      </c>
      <c r="G69" s="4" t="n">
        <v>5</v>
      </c>
      <c r="H69" s="3" t="s">
        <v>269</v>
      </c>
      <c r="I69" s="4" t="s">
        <v>79</v>
      </c>
    </row>
    <row r="70" customFormat="false" ht="15" hidden="false" customHeight="false" outlineLevel="0" collapsed="false">
      <c r="A70" s="4" t="n">
        <v>69</v>
      </c>
      <c r="B70" s="3" t="s">
        <v>13</v>
      </c>
      <c r="C70" s="3" t="s">
        <v>48</v>
      </c>
      <c r="D70" s="4" t="s">
        <v>270</v>
      </c>
      <c r="E70" s="4" t="s">
        <v>271</v>
      </c>
      <c r="F70" s="6" t="n">
        <v>1.87</v>
      </c>
      <c r="G70" s="4" t="n">
        <v>5</v>
      </c>
      <c r="H70" s="3" t="s">
        <v>272</v>
      </c>
      <c r="I70" s="4" t="s">
        <v>79</v>
      </c>
    </row>
    <row r="71" customFormat="false" ht="15" hidden="false" customHeight="false" outlineLevel="0" collapsed="false">
      <c r="A71" s="4" t="n">
        <v>70</v>
      </c>
      <c r="B71" s="3" t="s">
        <v>13</v>
      </c>
      <c r="C71" s="3" t="s">
        <v>48</v>
      </c>
      <c r="D71" s="4" t="s">
        <v>273</v>
      </c>
      <c r="E71" s="4" t="s">
        <v>274</v>
      </c>
      <c r="F71" s="6" t="n">
        <v>0.44</v>
      </c>
      <c r="G71" s="4" t="n">
        <v>5</v>
      </c>
      <c r="H71" s="3" t="s">
        <v>275</v>
      </c>
      <c r="I71" s="4" t="s">
        <v>79</v>
      </c>
    </row>
    <row r="72" customFormat="false" ht="15" hidden="false" customHeight="false" outlineLevel="0" collapsed="false">
      <c r="A72" s="4" t="n">
        <v>71</v>
      </c>
      <c r="B72" s="3" t="s">
        <v>11</v>
      </c>
      <c r="C72" s="3" t="s">
        <v>48</v>
      </c>
      <c r="D72" s="4" t="s">
        <v>276</v>
      </c>
      <c r="E72" s="4" t="s">
        <v>277</v>
      </c>
      <c r="F72" s="6" t="n">
        <v>9.36</v>
      </c>
      <c r="G72" s="4" t="n">
        <v>5</v>
      </c>
      <c r="H72" s="3" t="s">
        <v>278</v>
      </c>
      <c r="I72" s="4" t="s">
        <v>79</v>
      </c>
    </row>
    <row r="73" customFormat="false" ht="15" hidden="false" customHeight="false" outlineLevel="0" collapsed="false">
      <c r="A73" s="4" t="n">
        <v>72</v>
      </c>
      <c r="B73" s="3" t="s">
        <v>11</v>
      </c>
      <c r="C73" s="3" t="s">
        <v>48</v>
      </c>
      <c r="D73" s="4" t="s">
        <v>279</v>
      </c>
      <c r="E73" s="4" t="s">
        <v>280</v>
      </c>
      <c r="F73" s="6" t="n">
        <v>0.57</v>
      </c>
      <c r="G73" s="4" t="n">
        <v>5</v>
      </c>
      <c r="H73" s="3" t="s">
        <v>281</v>
      </c>
      <c r="I73" s="4" t="s">
        <v>69</v>
      </c>
    </row>
    <row r="74" customFormat="false" ht="15" hidden="false" customHeight="false" outlineLevel="0" collapsed="false">
      <c r="A74" s="4" t="n">
        <v>73</v>
      </c>
      <c r="B74" s="3" t="s">
        <v>13</v>
      </c>
      <c r="C74" s="3" t="s">
        <v>48</v>
      </c>
      <c r="D74" s="4" t="s">
        <v>282</v>
      </c>
      <c r="E74" s="4" t="s">
        <v>283</v>
      </c>
      <c r="F74" s="6" t="n">
        <v>2.84</v>
      </c>
      <c r="G74" s="4" t="n">
        <v>5</v>
      </c>
      <c r="H74" s="3" t="s">
        <v>284</v>
      </c>
      <c r="I74" s="4" t="s">
        <v>79</v>
      </c>
    </row>
    <row r="75" customFormat="false" ht="15" hidden="false" customHeight="false" outlineLevel="0" collapsed="false">
      <c r="A75" s="4" t="n">
        <v>74</v>
      </c>
      <c r="B75" s="3" t="s">
        <v>13</v>
      </c>
      <c r="C75" s="3" t="s">
        <v>48</v>
      </c>
      <c r="D75" s="4" t="s">
        <v>285</v>
      </c>
      <c r="E75" s="4" t="s">
        <v>286</v>
      </c>
      <c r="F75" s="6" t="n">
        <v>0.66</v>
      </c>
      <c r="G75" s="4" t="n">
        <v>5</v>
      </c>
      <c r="H75" s="3" t="s">
        <v>287</v>
      </c>
      <c r="I75" s="4" t="s">
        <v>79</v>
      </c>
    </row>
    <row r="76" customFormat="false" ht="15" hidden="false" customHeight="false" outlineLevel="0" collapsed="false">
      <c r="A76" s="4" t="n">
        <v>75</v>
      </c>
      <c r="B76" s="3" t="s">
        <v>13</v>
      </c>
      <c r="C76" s="3" t="s">
        <v>48</v>
      </c>
      <c r="D76" s="4" t="s">
        <v>288</v>
      </c>
      <c r="E76" s="4" t="s">
        <v>289</v>
      </c>
      <c r="F76" s="6" t="n">
        <v>2.19</v>
      </c>
      <c r="G76" s="4" t="n">
        <v>5</v>
      </c>
      <c r="H76" s="3" t="s">
        <v>290</v>
      </c>
      <c r="I76" s="4" t="s">
        <v>79</v>
      </c>
    </row>
    <row r="77" customFormat="false" ht="15" hidden="false" customHeight="false" outlineLevel="0" collapsed="false">
      <c r="A77" s="4" t="n">
        <v>76</v>
      </c>
      <c r="B77" s="3" t="s">
        <v>13</v>
      </c>
      <c r="C77" s="3" t="s">
        <v>48</v>
      </c>
      <c r="D77" s="4" t="s">
        <v>291</v>
      </c>
      <c r="E77" s="4" t="s">
        <v>292</v>
      </c>
      <c r="F77" s="6" t="n">
        <v>0.86</v>
      </c>
      <c r="G77" s="4" t="n">
        <v>5</v>
      </c>
      <c r="H77" s="3" t="s">
        <v>293</v>
      </c>
      <c r="I77" s="4" t="s">
        <v>79</v>
      </c>
    </row>
    <row r="78" customFormat="false" ht="15" hidden="false" customHeight="false" outlineLevel="0" collapsed="false">
      <c r="A78" s="4" t="n">
        <v>77</v>
      </c>
      <c r="B78" s="3" t="s">
        <v>13</v>
      </c>
      <c r="C78" s="3" t="s">
        <v>48</v>
      </c>
      <c r="D78" s="4" t="s">
        <v>294</v>
      </c>
      <c r="E78" s="4" t="s">
        <v>295</v>
      </c>
      <c r="F78" s="6" t="n">
        <v>1.09</v>
      </c>
      <c r="G78" s="4" t="n">
        <v>5</v>
      </c>
      <c r="H78" s="3" t="s">
        <v>296</v>
      </c>
      <c r="I78" s="4" t="s">
        <v>79</v>
      </c>
    </row>
    <row r="79" customFormat="false" ht="15" hidden="false" customHeight="false" outlineLevel="0" collapsed="false">
      <c r="A79" s="4" t="n">
        <v>78</v>
      </c>
      <c r="B79" s="3" t="s">
        <v>13</v>
      </c>
      <c r="C79" s="3" t="s">
        <v>48</v>
      </c>
      <c r="D79" s="4" t="s">
        <v>297</v>
      </c>
      <c r="E79" s="4" t="s">
        <v>298</v>
      </c>
      <c r="F79" s="6" t="n">
        <v>1.31</v>
      </c>
      <c r="G79" s="4" t="n">
        <v>5</v>
      </c>
      <c r="H79" s="3" t="s">
        <v>299</v>
      </c>
      <c r="I79" s="4" t="s">
        <v>79</v>
      </c>
    </row>
    <row r="80" customFormat="false" ht="15" hidden="false" customHeight="false" outlineLevel="0" collapsed="false">
      <c r="A80" s="4" t="n">
        <v>79</v>
      </c>
      <c r="B80" s="3" t="s">
        <v>11</v>
      </c>
      <c r="C80" s="3" t="s">
        <v>48</v>
      </c>
      <c r="D80" s="4" t="s">
        <v>300</v>
      </c>
      <c r="E80" s="4" t="s">
        <v>301</v>
      </c>
      <c r="F80" s="6" t="n">
        <v>0.67</v>
      </c>
      <c r="G80" s="4" t="n">
        <v>5</v>
      </c>
      <c r="H80" s="3" t="s">
        <v>302</v>
      </c>
      <c r="I80" s="4" t="s">
        <v>79</v>
      </c>
    </row>
    <row r="81" customFormat="false" ht="15" hidden="false" customHeight="false" outlineLevel="0" collapsed="false">
      <c r="A81" s="4" t="n">
        <v>80</v>
      </c>
      <c r="B81" s="3" t="s">
        <v>11</v>
      </c>
      <c r="C81" s="3" t="s">
        <v>48</v>
      </c>
      <c r="D81" s="4" t="s">
        <v>303</v>
      </c>
      <c r="E81" s="4" t="s">
        <v>304</v>
      </c>
      <c r="F81" s="6" t="n">
        <v>2.17</v>
      </c>
      <c r="G81" s="4" t="n">
        <v>4</v>
      </c>
      <c r="H81" s="3" t="s">
        <v>305</v>
      </c>
      <c r="I81" s="4" t="s">
        <v>79</v>
      </c>
    </row>
    <row r="82" customFormat="false" ht="15" hidden="false" customHeight="false" outlineLevel="0" collapsed="false">
      <c r="A82" s="4" t="n">
        <v>81</v>
      </c>
      <c r="B82" s="3" t="s">
        <v>11</v>
      </c>
      <c r="C82" s="3" t="s">
        <v>48</v>
      </c>
      <c r="D82" s="4" t="s">
        <v>306</v>
      </c>
      <c r="E82" s="4" t="s">
        <v>307</v>
      </c>
      <c r="F82" s="6" t="n">
        <v>1.48</v>
      </c>
      <c r="G82" s="4" t="n">
        <v>5</v>
      </c>
      <c r="H82" s="3" t="s">
        <v>308</v>
      </c>
      <c r="I82" s="4" t="s">
        <v>79</v>
      </c>
    </row>
    <row r="83" customFormat="false" ht="15" hidden="false" customHeight="false" outlineLevel="0" collapsed="false">
      <c r="A83" s="4" t="n">
        <v>82</v>
      </c>
      <c r="B83" s="3" t="s">
        <v>13</v>
      </c>
      <c r="C83" s="3" t="s">
        <v>49</v>
      </c>
      <c r="D83" s="4" t="s">
        <v>309</v>
      </c>
      <c r="E83" s="4" t="s">
        <v>310</v>
      </c>
      <c r="F83" s="6" t="n">
        <v>0.41</v>
      </c>
      <c r="G83" s="4" t="n">
        <v>5</v>
      </c>
      <c r="H83" s="3" t="s">
        <v>311</v>
      </c>
      <c r="I83" s="4" t="s">
        <v>79</v>
      </c>
    </row>
    <row r="84" customFormat="false" ht="15" hidden="false" customHeight="false" outlineLevel="0" collapsed="false">
      <c r="A84" s="4" t="n">
        <v>83</v>
      </c>
      <c r="B84" s="3" t="s">
        <v>13</v>
      </c>
      <c r="C84" s="3" t="s">
        <v>49</v>
      </c>
      <c r="D84" s="4" t="s">
        <v>312</v>
      </c>
      <c r="E84" s="4" t="s">
        <v>313</v>
      </c>
      <c r="F84" s="6" t="n">
        <v>0.43</v>
      </c>
      <c r="G84" s="4" t="n">
        <v>5</v>
      </c>
      <c r="H84" s="3" t="s">
        <v>314</v>
      </c>
      <c r="I84" s="4" t="s">
        <v>79</v>
      </c>
    </row>
    <row r="85" customFormat="false" ht="15" hidden="false" customHeight="false" outlineLevel="0" collapsed="false">
      <c r="A85" s="4" t="n">
        <v>84</v>
      </c>
      <c r="B85" s="3" t="s">
        <v>11</v>
      </c>
      <c r="C85" s="3" t="s">
        <v>49</v>
      </c>
      <c r="D85" s="4" t="s">
        <v>315</v>
      </c>
      <c r="E85" s="4" t="s">
        <v>316</v>
      </c>
      <c r="F85" s="6" t="n">
        <v>0.03</v>
      </c>
      <c r="G85" s="4" t="n">
        <v>5</v>
      </c>
      <c r="H85" s="3" t="s">
        <v>317</v>
      </c>
      <c r="I85" s="4" t="s">
        <v>69</v>
      </c>
    </row>
    <row r="86" customFormat="false" ht="15" hidden="false" customHeight="false" outlineLevel="0" collapsed="false">
      <c r="A86" s="4" t="n">
        <v>85</v>
      </c>
      <c r="B86" s="3" t="s">
        <v>11</v>
      </c>
      <c r="C86" s="3" t="s">
        <v>49</v>
      </c>
      <c r="D86" s="4" t="s">
        <v>318</v>
      </c>
      <c r="E86" s="4" t="s">
        <v>319</v>
      </c>
      <c r="F86" s="6" t="n">
        <v>0.67</v>
      </c>
      <c r="G86" s="4" t="n">
        <v>5</v>
      </c>
      <c r="H86" s="3" t="s">
        <v>320</v>
      </c>
      <c r="I86" s="4" t="s">
        <v>69</v>
      </c>
    </row>
    <row r="87" customFormat="false" ht="15" hidden="false" customHeight="false" outlineLevel="0" collapsed="false">
      <c r="A87" s="4" t="n">
        <v>86</v>
      </c>
      <c r="B87" s="3" t="s">
        <v>13</v>
      </c>
      <c r="C87" s="3" t="s">
        <v>49</v>
      </c>
      <c r="D87" s="4" t="s">
        <v>321</v>
      </c>
      <c r="E87" s="4" t="s">
        <v>322</v>
      </c>
      <c r="F87" s="6" t="n">
        <v>1.02</v>
      </c>
      <c r="G87" s="4" t="n">
        <v>5</v>
      </c>
      <c r="H87" s="3" t="s">
        <v>323</v>
      </c>
      <c r="I87" s="4" t="s">
        <v>79</v>
      </c>
    </row>
    <row r="88" customFormat="false" ht="15" hidden="false" customHeight="false" outlineLevel="0" collapsed="false">
      <c r="A88" s="4" t="n">
        <v>87</v>
      </c>
      <c r="B88" s="3" t="s">
        <v>11</v>
      </c>
      <c r="C88" s="3" t="s">
        <v>49</v>
      </c>
      <c r="D88" s="4" t="s">
        <v>324</v>
      </c>
      <c r="E88" s="4" t="s">
        <v>325</v>
      </c>
      <c r="F88" s="6" t="n">
        <v>0.58</v>
      </c>
      <c r="G88" s="4" t="n">
        <v>5</v>
      </c>
      <c r="H88" s="3" t="s">
        <v>326</v>
      </c>
      <c r="I88" s="4" t="s">
        <v>69</v>
      </c>
    </row>
    <row r="89" customFormat="false" ht="15" hidden="false" customHeight="false" outlineLevel="0" collapsed="false">
      <c r="A89" s="4" t="n">
        <v>88</v>
      </c>
      <c r="B89" s="3" t="s">
        <v>13</v>
      </c>
      <c r="C89" s="3" t="s">
        <v>49</v>
      </c>
      <c r="D89" s="4" t="s">
        <v>327</v>
      </c>
      <c r="E89" s="4" t="s">
        <v>328</v>
      </c>
      <c r="F89" s="6" t="n">
        <v>0.38</v>
      </c>
      <c r="G89" s="4" t="n">
        <v>5</v>
      </c>
      <c r="H89" s="3" t="s">
        <v>329</v>
      </c>
      <c r="I89" s="4" t="s">
        <v>79</v>
      </c>
    </row>
    <row r="90" customFormat="false" ht="15" hidden="false" customHeight="false" outlineLevel="0" collapsed="false">
      <c r="A90" s="4" t="n">
        <v>89</v>
      </c>
      <c r="B90" s="3" t="s">
        <v>11</v>
      </c>
      <c r="C90" s="3" t="s">
        <v>49</v>
      </c>
      <c r="D90" s="4" t="s">
        <v>330</v>
      </c>
      <c r="E90" s="4" t="s">
        <v>331</v>
      </c>
      <c r="F90" s="6" t="n">
        <v>7.3</v>
      </c>
      <c r="G90" s="4" t="n">
        <v>5</v>
      </c>
      <c r="H90" s="3" t="s">
        <v>332</v>
      </c>
      <c r="I90" s="4" t="s">
        <v>79</v>
      </c>
    </row>
    <row r="91" customFormat="false" ht="15" hidden="false" customHeight="false" outlineLevel="0" collapsed="false">
      <c r="A91" s="4" t="n">
        <v>90</v>
      </c>
      <c r="B91" s="3" t="s">
        <v>11</v>
      </c>
      <c r="C91" s="3" t="s">
        <v>49</v>
      </c>
      <c r="D91" s="4" t="s">
        <v>333</v>
      </c>
      <c r="E91" s="4" t="s">
        <v>334</v>
      </c>
      <c r="F91" s="6" t="n">
        <v>0.23</v>
      </c>
      <c r="G91" s="4" t="n">
        <v>5</v>
      </c>
      <c r="H91" s="3" t="s">
        <v>335</v>
      </c>
      <c r="I91" s="4" t="s">
        <v>69</v>
      </c>
    </row>
    <row r="92" customFormat="false" ht="15" hidden="false" customHeight="false" outlineLevel="0" collapsed="false">
      <c r="A92" s="4" t="n">
        <v>91</v>
      </c>
      <c r="B92" s="3" t="s">
        <v>11</v>
      </c>
      <c r="C92" s="3" t="s">
        <v>49</v>
      </c>
      <c r="D92" s="4" t="s">
        <v>336</v>
      </c>
      <c r="E92" s="4" t="s">
        <v>337</v>
      </c>
      <c r="F92" s="6" t="n">
        <v>0.81</v>
      </c>
      <c r="G92" s="4" t="n">
        <v>4</v>
      </c>
      <c r="H92" s="3" t="s">
        <v>338</v>
      </c>
      <c r="I92" s="4" t="s">
        <v>79</v>
      </c>
    </row>
    <row r="93" customFormat="false" ht="15" hidden="false" customHeight="false" outlineLevel="0" collapsed="false">
      <c r="A93" s="4" t="n">
        <v>92</v>
      </c>
      <c r="B93" s="3" t="s">
        <v>13</v>
      </c>
      <c r="C93" s="3" t="s">
        <v>52</v>
      </c>
      <c r="D93" s="4" t="s">
        <v>339</v>
      </c>
      <c r="E93" s="4" t="s">
        <v>340</v>
      </c>
      <c r="F93" s="6" t="n">
        <v>0.08</v>
      </c>
      <c r="G93" s="4" t="n">
        <v>5</v>
      </c>
      <c r="H93" s="3" t="s">
        <v>341</v>
      </c>
      <c r="I93" s="4" t="s">
        <v>69</v>
      </c>
    </row>
    <row r="94" customFormat="false" ht="15" hidden="false" customHeight="false" outlineLevel="0" collapsed="false">
      <c r="A94" s="4" t="n">
        <v>93</v>
      </c>
      <c r="B94" s="3" t="s">
        <v>13</v>
      </c>
      <c r="C94" s="3" t="s">
        <v>52</v>
      </c>
      <c r="D94" s="4" t="s">
        <v>342</v>
      </c>
      <c r="E94" s="4" t="s">
        <v>343</v>
      </c>
      <c r="F94" s="6" t="n">
        <v>0.68</v>
      </c>
      <c r="G94" s="4" t="n">
        <v>5</v>
      </c>
      <c r="H94" s="3" t="s">
        <v>344</v>
      </c>
      <c r="I94" s="4" t="s">
        <v>69</v>
      </c>
    </row>
    <row r="95" customFormat="false" ht="15" hidden="false" customHeight="false" outlineLevel="0" collapsed="false">
      <c r="A95" s="4" t="n">
        <v>94</v>
      </c>
      <c r="B95" s="3" t="s">
        <v>13</v>
      </c>
      <c r="C95" s="3" t="s">
        <v>52</v>
      </c>
      <c r="D95" s="4" t="s">
        <v>345</v>
      </c>
      <c r="E95" s="4" t="s">
        <v>346</v>
      </c>
      <c r="F95" s="6" t="n">
        <v>1.07</v>
      </c>
      <c r="G95" s="4" t="n">
        <v>5</v>
      </c>
      <c r="H95" s="3" t="s">
        <v>347</v>
      </c>
      <c r="I95" s="4" t="s">
        <v>69</v>
      </c>
    </row>
    <row r="96" customFormat="false" ht="15" hidden="false" customHeight="false" outlineLevel="0" collapsed="false">
      <c r="A96" s="4" t="n">
        <v>95</v>
      </c>
      <c r="B96" s="3" t="s">
        <v>13</v>
      </c>
      <c r="C96" s="3" t="s">
        <v>52</v>
      </c>
      <c r="D96" s="4" t="s">
        <v>348</v>
      </c>
      <c r="E96" s="4" t="s">
        <v>349</v>
      </c>
      <c r="F96" s="6" t="n">
        <v>2.14</v>
      </c>
      <c r="G96" s="4" t="n">
        <v>5</v>
      </c>
      <c r="H96" s="3" t="s">
        <v>350</v>
      </c>
      <c r="I96" s="4" t="s">
        <v>79</v>
      </c>
    </row>
    <row r="97" customFormat="false" ht="15" hidden="false" customHeight="false" outlineLevel="0" collapsed="false">
      <c r="A97" s="4" t="n">
        <v>96</v>
      </c>
      <c r="B97" s="3" t="s">
        <v>13</v>
      </c>
      <c r="C97" s="3" t="s">
        <v>52</v>
      </c>
      <c r="D97" s="4" t="s">
        <v>351</v>
      </c>
      <c r="E97" s="4" t="s">
        <v>352</v>
      </c>
      <c r="F97" s="6" t="n">
        <v>1.77</v>
      </c>
      <c r="G97" s="4" t="n">
        <v>5</v>
      </c>
      <c r="H97" s="3" t="s">
        <v>353</v>
      </c>
      <c r="I97" s="4" t="s">
        <v>79</v>
      </c>
    </row>
    <row r="98" customFormat="false" ht="15" hidden="false" customHeight="false" outlineLevel="0" collapsed="false">
      <c r="A98" s="4" t="n">
        <v>97</v>
      </c>
      <c r="B98" s="3" t="s">
        <v>11</v>
      </c>
      <c r="C98" s="3" t="s">
        <v>53</v>
      </c>
      <c r="D98" s="4" t="s">
        <v>354</v>
      </c>
      <c r="E98" s="4" t="s">
        <v>355</v>
      </c>
      <c r="F98" s="6" t="n">
        <v>0.34</v>
      </c>
      <c r="G98" s="4" t="n">
        <v>5</v>
      </c>
      <c r="H98" s="3" t="s">
        <v>356</v>
      </c>
      <c r="I98" s="4" t="s">
        <v>79</v>
      </c>
    </row>
    <row r="99" customFormat="false" ht="15" hidden="false" customHeight="false" outlineLevel="0" collapsed="false">
      <c r="A99" s="4" t="n">
        <v>98</v>
      </c>
      <c r="B99" s="3" t="s">
        <v>11</v>
      </c>
      <c r="C99" s="3" t="s">
        <v>53</v>
      </c>
      <c r="D99" s="4" t="s">
        <v>357</v>
      </c>
      <c r="E99" s="4" t="s">
        <v>358</v>
      </c>
      <c r="F99" s="6" t="n">
        <v>0.72</v>
      </c>
      <c r="G99" s="4" t="n">
        <v>5</v>
      </c>
      <c r="H99" s="3" t="s">
        <v>359</v>
      </c>
      <c r="I99" s="4" t="s">
        <v>79</v>
      </c>
    </row>
    <row r="100" customFormat="false" ht="15" hidden="false" customHeight="false" outlineLevel="0" collapsed="false">
      <c r="A100" s="4" t="n">
        <v>99</v>
      </c>
      <c r="B100" s="3" t="s">
        <v>11</v>
      </c>
      <c r="C100" s="3" t="s">
        <v>53</v>
      </c>
      <c r="D100" s="4" t="s">
        <v>360</v>
      </c>
      <c r="E100" s="4" t="s">
        <v>361</v>
      </c>
      <c r="F100" s="6" t="n">
        <v>0.91</v>
      </c>
      <c r="G100" s="4" t="n">
        <v>5</v>
      </c>
      <c r="H100" s="3" t="s">
        <v>362</v>
      </c>
      <c r="I100" s="4" t="s">
        <v>79</v>
      </c>
    </row>
    <row r="101" customFormat="false" ht="15" hidden="false" customHeight="false" outlineLevel="0" collapsed="false">
      <c r="A101" s="4" t="n">
        <v>100</v>
      </c>
      <c r="B101" s="3" t="s">
        <v>11</v>
      </c>
      <c r="C101" s="3" t="s">
        <v>53</v>
      </c>
      <c r="D101" s="4" t="s">
        <v>363</v>
      </c>
      <c r="E101" s="4" t="s">
        <v>364</v>
      </c>
      <c r="F101" s="6" t="n">
        <v>0.12</v>
      </c>
      <c r="G101" s="4" t="n">
        <v>5</v>
      </c>
      <c r="H101" s="3" t="s">
        <v>365</v>
      </c>
      <c r="I101" s="4" t="s">
        <v>69</v>
      </c>
    </row>
    <row r="102" customFormat="false" ht="15" hidden="false" customHeight="false" outlineLevel="0" collapsed="false">
      <c r="A102" s="4" t="n">
        <v>101</v>
      </c>
      <c r="B102" s="3" t="s">
        <v>11</v>
      </c>
      <c r="C102" s="3" t="s">
        <v>53</v>
      </c>
      <c r="D102" s="4" t="s">
        <v>366</v>
      </c>
      <c r="E102" s="4" t="s">
        <v>367</v>
      </c>
      <c r="F102" s="6" t="n">
        <v>0.24</v>
      </c>
      <c r="G102" s="4" t="n">
        <v>5</v>
      </c>
      <c r="H102" s="3" t="s">
        <v>368</v>
      </c>
      <c r="I102" s="4" t="s">
        <v>69</v>
      </c>
    </row>
    <row r="103" customFormat="false" ht="15" hidden="false" customHeight="false" outlineLevel="0" collapsed="false">
      <c r="A103" s="4" t="n">
        <v>102</v>
      </c>
      <c r="B103" s="3" t="s">
        <v>13</v>
      </c>
      <c r="C103" s="3" t="s">
        <v>53</v>
      </c>
      <c r="D103" s="4" t="s">
        <v>369</v>
      </c>
      <c r="E103" s="4" t="s">
        <v>370</v>
      </c>
      <c r="F103" s="6" t="n">
        <v>1.09</v>
      </c>
      <c r="G103" s="4" t="n">
        <v>5</v>
      </c>
      <c r="H103" s="3" t="s">
        <v>371</v>
      </c>
      <c r="I103" s="4" t="s">
        <v>79</v>
      </c>
    </row>
    <row r="104" customFormat="false" ht="15" hidden="false" customHeight="false" outlineLevel="0" collapsed="false">
      <c r="A104" s="4" t="n">
        <v>103</v>
      </c>
      <c r="B104" s="3" t="s">
        <v>11</v>
      </c>
      <c r="C104" s="3" t="s">
        <v>54</v>
      </c>
      <c r="D104" s="4" t="s">
        <v>372</v>
      </c>
      <c r="E104" s="4" t="s">
        <v>373</v>
      </c>
      <c r="F104" s="6" t="n">
        <v>1.41</v>
      </c>
      <c r="G104" s="4" t="n">
        <v>5</v>
      </c>
      <c r="H104" s="3" t="s">
        <v>374</v>
      </c>
      <c r="I104" s="4" t="s">
        <v>79</v>
      </c>
    </row>
    <row r="105" customFormat="false" ht="15" hidden="false" customHeight="false" outlineLevel="0" collapsed="false">
      <c r="A105" s="4" t="n">
        <v>104</v>
      </c>
      <c r="B105" s="3" t="s">
        <v>11</v>
      </c>
      <c r="C105" s="3" t="s">
        <v>54</v>
      </c>
      <c r="D105" s="4" t="s">
        <v>375</v>
      </c>
      <c r="E105" s="4" t="s">
        <v>376</v>
      </c>
      <c r="F105" s="6" t="n">
        <v>0.59</v>
      </c>
      <c r="G105" s="4" t="n">
        <v>5</v>
      </c>
      <c r="H105" s="3" t="s">
        <v>377</v>
      </c>
      <c r="I105" s="4" t="s">
        <v>79</v>
      </c>
    </row>
    <row r="106" customFormat="false" ht="15" hidden="false" customHeight="false" outlineLevel="0" collapsed="false">
      <c r="A106" s="4" t="n">
        <v>105</v>
      </c>
      <c r="B106" s="3" t="s">
        <v>11</v>
      </c>
      <c r="C106" s="3" t="s">
        <v>54</v>
      </c>
      <c r="D106" s="4" t="s">
        <v>378</v>
      </c>
      <c r="E106" s="4" t="s">
        <v>379</v>
      </c>
      <c r="F106" s="6" t="n">
        <v>2.1</v>
      </c>
      <c r="G106" s="4" t="n">
        <v>5</v>
      </c>
      <c r="H106" s="3" t="s">
        <v>380</v>
      </c>
      <c r="I106" s="4" t="s">
        <v>79</v>
      </c>
    </row>
    <row r="107" customFormat="false" ht="15" hidden="false" customHeight="false" outlineLevel="0" collapsed="false">
      <c r="A107" s="4" t="n">
        <v>106</v>
      </c>
      <c r="B107" s="3" t="s">
        <v>11</v>
      </c>
      <c r="C107" s="3" t="s">
        <v>54</v>
      </c>
      <c r="D107" s="4" t="s">
        <v>381</v>
      </c>
      <c r="E107" s="4" t="s">
        <v>382</v>
      </c>
      <c r="F107" s="6" t="n">
        <v>0.85</v>
      </c>
      <c r="G107" s="4" t="n">
        <v>5</v>
      </c>
      <c r="H107" s="3" t="s">
        <v>383</v>
      </c>
      <c r="I107" s="4" t="s">
        <v>69</v>
      </c>
    </row>
    <row r="108" customFormat="false" ht="15" hidden="false" customHeight="false" outlineLevel="0" collapsed="false">
      <c r="A108" s="4" t="n">
        <v>107</v>
      </c>
      <c r="B108" s="3" t="s">
        <v>13</v>
      </c>
      <c r="C108" s="3" t="s">
        <v>54</v>
      </c>
      <c r="D108" s="4" t="s">
        <v>384</v>
      </c>
      <c r="E108" s="4" t="s">
        <v>385</v>
      </c>
      <c r="F108" s="6" t="n">
        <v>0.64</v>
      </c>
      <c r="G108" s="4" t="n">
        <v>5</v>
      </c>
      <c r="H108" s="3" t="s">
        <v>386</v>
      </c>
      <c r="I108" s="4" t="s">
        <v>79</v>
      </c>
    </row>
    <row r="109" customFormat="false" ht="15" hidden="false" customHeight="false" outlineLevel="0" collapsed="false">
      <c r="A109" s="4" t="n">
        <v>108</v>
      </c>
      <c r="B109" s="3" t="s">
        <v>13</v>
      </c>
      <c r="C109" s="3" t="s">
        <v>54</v>
      </c>
      <c r="D109" s="4" t="s">
        <v>387</v>
      </c>
      <c r="E109" s="4" t="s">
        <v>388</v>
      </c>
      <c r="F109" s="6" t="n">
        <v>2.03</v>
      </c>
      <c r="G109" s="4" t="n">
        <v>4</v>
      </c>
      <c r="H109" s="3" t="s">
        <v>389</v>
      </c>
      <c r="I109" s="4" t="s">
        <v>69</v>
      </c>
    </row>
    <row r="110" customFormat="false" ht="15" hidden="false" customHeight="false" outlineLevel="0" collapsed="false">
      <c r="A110" s="4" t="n">
        <v>109</v>
      </c>
      <c r="B110" s="3" t="s">
        <v>11</v>
      </c>
      <c r="C110" s="3" t="s">
        <v>54</v>
      </c>
      <c r="D110" s="4" t="s">
        <v>390</v>
      </c>
      <c r="E110" s="4" t="s">
        <v>391</v>
      </c>
      <c r="F110" s="6" t="n">
        <v>0.53</v>
      </c>
      <c r="G110" s="4" t="n">
        <v>4</v>
      </c>
      <c r="H110" s="3" t="s">
        <v>392</v>
      </c>
      <c r="I110" s="4" t="s">
        <v>69</v>
      </c>
    </row>
    <row r="111" customFormat="false" ht="15" hidden="false" customHeight="false" outlineLevel="0" collapsed="false">
      <c r="A111" s="4" t="n">
        <v>110</v>
      </c>
      <c r="B111" s="3" t="s">
        <v>13</v>
      </c>
      <c r="C111" s="3" t="s">
        <v>55</v>
      </c>
      <c r="D111" s="4" t="s">
        <v>393</v>
      </c>
      <c r="E111" s="4" t="s">
        <v>394</v>
      </c>
      <c r="F111" s="6" t="n">
        <v>0.55</v>
      </c>
      <c r="G111" s="4" t="n">
        <v>5</v>
      </c>
      <c r="H111" s="3" t="s">
        <v>395</v>
      </c>
      <c r="I111" s="4" t="s">
        <v>79</v>
      </c>
    </row>
    <row r="112" customFormat="false" ht="15" hidden="false" customHeight="false" outlineLevel="0" collapsed="false">
      <c r="A112" s="4" t="n">
        <v>111</v>
      </c>
      <c r="B112" s="3" t="s">
        <v>13</v>
      </c>
      <c r="C112" s="3" t="s">
        <v>55</v>
      </c>
      <c r="D112" s="4" t="s">
        <v>396</v>
      </c>
      <c r="E112" s="4" t="s">
        <v>397</v>
      </c>
      <c r="F112" s="6" t="n">
        <v>0.27</v>
      </c>
      <c r="G112" s="4" t="n">
        <v>5</v>
      </c>
      <c r="H112" s="3" t="s">
        <v>398</v>
      </c>
      <c r="I112" s="4" t="s">
        <v>79</v>
      </c>
    </row>
    <row r="113" customFormat="false" ht="15" hidden="false" customHeight="false" outlineLevel="0" collapsed="false">
      <c r="A113" s="4" t="n">
        <v>112</v>
      </c>
      <c r="B113" s="3" t="s">
        <v>13</v>
      </c>
      <c r="C113" s="3" t="s">
        <v>55</v>
      </c>
      <c r="D113" s="4" t="s">
        <v>399</v>
      </c>
      <c r="E113" s="4" t="s">
        <v>400</v>
      </c>
      <c r="F113" s="6" t="n">
        <v>0.87</v>
      </c>
      <c r="G113" s="4" t="n">
        <v>5</v>
      </c>
      <c r="H113" s="3" t="s">
        <v>401</v>
      </c>
      <c r="I113" s="4" t="s">
        <v>79</v>
      </c>
    </row>
    <row r="114" customFormat="false" ht="15" hidden="false" customHeight="false" outlineLevel="0" collapsed="false">
      <c r="A114" s="2" t="s">
        <v>18</v>
      </c>
      <c r="B114" s="2" t="n">
        <f aca="false">COUNTA(B2:B113)</f>
        <v>112</v>
      </c>
      <c r="F114" s="19" t="n">
        <f aca="false">AVERAGE(F2:F113)</f>
        <v>1.33151785714286</v>
      </c>
      <c r="G114" s="19" t="n">
        <f aca="false">AVERAGE(G2:G113)</f>
        <v>4.90178571428571</v>
      </c>
    </row>
    <row r="116" customFormat="false" ht="15" hidden="false" customHeight="false" outlineLevel="0" collapsed="false">
      <c r="A116" s="14" t="s">
        <v>402</v>
      </c>
    </row>
    <row r="117" customFormat="false" ht="15" hidden="false" customHeight="false" outlineLevel="0" collapsed="false">
      <c r="A117" s="14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4"/>
  </cols>
  <sheetData>
    <row r="1" customFormat="false" ht="21.75" hidden="false" customHeight="true" outlineLevel="0" collapsed="false">
      <c r="A1" s="1" t="s">
        <v>59</v>
      </c>
      <c r="B1" s="1" t="s">
        <v>0</v>
      </c>
      <c r="C1" s="1" t="s">
        <v>27</v>
      </c>
      <c r="D1" s="1" t="s">
        <v>60</v>
      </c>
      <c r="E1" s="1" t="s">
        <v>404</v>
      </c>
    </row>
    <row r="2" customFormat="false" ht="15" hidden="false" customHeight="false" outlineLevel="0" collapsed="false">
      <c r="A2" s="20" t="n">
        <v>1</v>
      </c>
      <c r="B2" s="21" t="s">
        <v>15</v>
      </c>
      <c r="C2" s="21" t="s">
        <v>34</v>
      </c>
      <c r="D2" s="20" t="s">
        <v>405</v>
      </c>
      <c r="E2" s="21" t="s">
        <v>35</v>
      </c>
    </row>
    <row r="3" customFormat="false" ht="15" hidden="false" customHeight="false" outlineLevel="0" collapsed="false">
      <c r="A3" s="20" t="n">
        <v>2</v>
      </c>
      <c r="B3" s="21" t="s">
        <v>13</v>
      </c>
      <c r="C3" s="21" t="s">
        <v>34</v>
      </c>
      <c r="D3" s="20" t="s">
        <v>406</v>
      </c>
      <c r="E3" s="21" t="s">
        <v>35</v>
      </c>
    </row>
    <row r="4" customFormat="false" ht="15" hidden="false" customHeight="false" outlineLevel="0" collapsed="false">
      <c r="A4" s="20" t="n">
        <v>3</v>
      </c>
      <c r="B4" s="21" t="s">
        <v>15</v>
      </c>
      <c r="C4" s="21" t="s">
        <v>34</v>
      </c>
      <c r="D4" s="20" t="s">
        <v>407</v>
      </c>
      <c r="E4" s="21" t="s">
        <v>35</v>
      </c>
    </row>
    <row r="5" customFormat="false" ht="15" hidden="false" customHeight="false" outlineLevel="0" collapsed="false">
      <c r="A5" s="4" t="n">
        <v>4</v>
      </c>
      <c r="B5" s="3" t="s">
        <v>13</v>
      </c>
      <c r="C5" s="3" t="s">
        <v>34</v>
      </c>
      <c r="D5" s="4" t="s">
        <v>408</v>
      </c>
      <c r="E5" s="3" t="s">
        <v>35</v>
      </c>
    </row>
    <row r="6" customFormat="false" ht="15" hidden="false" customHeight="false" outlineLevel="0" collapsed="false">
      <c r="A6" s="4" t="n">
        <v>5</v>
      </c>
      <c r="B6" s="3" t="s">
        <v>13</v>
      </c>
      <c r="C6" s="3" t="s">
        <v>34</v>
      </c>
      <c r="D6" s="4" t="s">
        <v>409</v>
      </c>
      <c r="E6" s="3" t="s">
        <v>35</v>
      </c>
    </row>
    <row r="7" customFormat="false" ht="15" hidden="false" customHeight="false" outlineLevel="0" collapsed="false">
      <c r="A7" s="4" t="n">
        <v>6</v>
      </c>
      <c r="B7" s="3" t="s">
        <v>11</v>
      </c>
      <c r="C7" s="3" t="s">
        <v>36</v>
      </c>
      <c r="D7" s="4" t="s">
        <v>410</v>
      </c>
      <c r="E7" s="3" t="s">
        <v>37</v>
      </c>
    </row>
    <row r="8" customFormat="false" ht="15" hidden="false" customHeight="false" outlineLevel="0" collapsed="false">
      <c r="A8" s="4" t="n">
        <v>7</v>
      </c>
      <c r="B8" s="3" t="s">
        <v>13</v>
      </c>
      <c r="C8" s="3" t="s">
        <v>36</v>
      </c>
      <c r="D8" s="4" t="s">
        <v>411</v>
      </c>
      <c r="E8" s="3" t="s">
        <v>37</v>
      </c>
    </row>
    <row r="9" customFormat="false" ht="15" hidden="false" customHeight="false" outlineLevel="0" collapsed="false">
      <c r="A9" s="4" t="n">
        <v>8</v>
      </c>
      <c r="B9" s="3" t="s">
        <v>11</v>
      </c>
      <c r="C9" s="3" t="s">
        <v>36</v>
      </c>
      <c r="D9" s="4" t="s">
        <v>412</v>
      </c>
      <c r="E9" s="3" t="s">
        <v>37</v>
      </c>
    </row>
    <row r="10" customFormat="false" ht="15" hidden="false" customHeight="false" outlineLevel="0" collapsed="false">
      <c r="A10" s="4" t="n">
        <v>9</v>
      </c>
      <c r="B10" s="3" t="s">
        <v>11</v>
      </c>
      <c r="C10" s="3" t="s">
        <v>36</v>
      </c>
      <c r="D10" s="4" t="s">
        <v>89</v>
      </c>
      <c r="E10" s="3" t="s">
        <v>37</v>
      </c>
    </row>
    <row r="11" customFormat="false" ht="15" hidden="false" customHeight="false" outlineLevel="0" collapsed="false">
      <c r="A11" s="4" t="n">
        <v>10</v>
      </c>
      <c r="B11" s="3" t="s">
        <v>11</v>
      </c>
      <c r="C11" s="3" t="s">
        <v>36</v>
      </c>
      <c r="D11" s="4" t="s">
        <v>413</v>
      </c>
      <c r="E11" s="3" t="s">
        <v>37</v>
      </c>
    </row>
    <row r="12" customFormat="false" ht="15" hidden="false" customHeight="false" outlineLevel="0" collapsed="false">
      <c r="A12" s="4" t="n">
        <v>11</v>
      </c>
      <c r="B12" s="3" t="s">
        <v>13</v>
      </c>
      <c r="C12" s="3" t="s">
        <v>36</v>
      </c>
      <c r="D12" s="4" t="s">
        <v>414</v>
      </c>
      <c r="E12" s="3" t="s">
        <v>37</v>
      </c>
    </row>
    <row r="13" customFormat="false" ht="15" hidden="false" customHeight="false" outlineLevel="0" collapsed="false">
      <c r="A13" s="4" t="n">
        <v>12</v>
      </c>
      <c r="B13" s="3" t="s">
        <v>13</v>
      </c>
      <c r="C13" s="3" t="s">
        <v>38</v>
      </c>
      <c r="D13" s="4" t="s">
        <v>415</v>
      </c>
      <c r="E13" s="3" t="s">
        <v>39</v>
      </c>
    </row>
    <row r="14" customFormat="false" ht="15" hidden="false" customHeight="false" outlineLevel="0" collapsed="false">
      <c r="A14" s="4" t="n">
        <v>13</v>
      </c>
      <c r="B14" s="3" t="s">
        <v>11</v>
      </c>
      <c r="C14" s="3" t="s">
        <v>38</v>
      </c>
      <c r="D14" s="4" t="s">
        <v>416</v>
      </c>
      <c r="E14" s="3" t="s">
        <v>39</v>
      </c>
    </row>
    <row r="15" customFormat="false" ht="15" hidden="false" customHeight="false" outlineLevel="0" collapsed="false">
      <c r="A15" s="4" t="n">
        <v>14</v>
      </c>
      <c r="B15" s="3" t="s">
        <v>11</v>
      </c>
      <c r="C15" s="3" t="s">
        <v>38</v>
      </c>
      <c r="D15" s="4" t="s">
        <v>417</v>
      </c>
      <c r="E15" s="3" t="s">
        <v>39</v>
      </c>
    </row>
    <row r="16" customFormat="false" ht="15" hidden="false" customHeight="false" outlineLevel="0" collapsed="false">
      <c r="A16" s="4" t="n">
        <v>15</v>
      </c>
      <c r="B16" s="3" t="s">
        <v>13</v>
      </c>
      <c r="C16" s="3" t="s">
        <v>38</v>
      </c>
      <c r="D16" s="4" t="s">
        <v>418</v>
      </c>
      <c r="E16" s="3" t="s">
        <v>39</v>
      </c>
    </row>
    <row r="17" customFormat="false" ht="15" hidden="false" customHeight="false" outlineLevel="0" collapsed="false">
      <c r="A17" s="4" t="n">
        <v>16</v>
      </c>
      <c r="B17" s="3" t="s">
        <v>11</v>
      </c>
      <c r="C17" s="3" t="s">
        <v>38</v>
      </c>
      <c r="D17" s="4" t="s">
        <v>419</v>
      </c>
      <c r="E17" s="3" t="s">
        <v>39</v>
      </c>
    </row>
    <row r="18" customFormat="false" ht="15" hidden="false" customHeight="false" outlineLevel="0" collapsed="false">
      <c r="A18" s="4" t="n">
        <v>17</v>
      </c>
      <c r="B18" s="3" t="s">
        <v>13</v>
      </c>
      <c r="C18" s="3" t="s">
        <v>38</v>
      </c>
      <c r="D18" s="4" t="s">
        <v>420</v>
      </c>
      <c r="E18" s="3" t="s">
        <v>39</v>
      </c>
    </row>
    <row r="19" customFormat="false" ht="15" hidden="false" customHeight="false" outlineLevel="0" collapsed="false">
      <c r="A19" s="4" t="n">
        <v>18</v>
      </c>
      <c r="B19" s="3" t="s">
        <v>13</v>
      </c>
      <c r="C19" s="3" t="s">
        <v>38</v>
      </c>
      <c r="D19" s="4" t="s">
        <v>421</v>
      </c>
      <c r="E19" s="3" t="s">
        <v>39</v>
      </c>
    </row>
    <row r="20" customFormat="false" ht="15" hidden="false" customHeight="false" outlineLevel="0" collapsed="false">
      <c r="A20" s="4" t="n">
        <v>19</v>
      </c>
      <c r="B20" s="3" t="s">
        <v>13</v>
      </c>
      <c r="C20" s="3" t="s">
        <v>38</v>
      </c>
      <c r="D20" s="4" t="s">
        <v>422</v>
      </c>
      <c r="E20" s="3" t="s">
        <v>39</v>
      </c>
    </row>
    <row r="21" customFormat="false" ht="15" hidden="false" customHeight="false" outlineLevel="0" collapsed="false">
      <c r="A21" s="4" t="n">
        <v>20</v>
      </c>
      <c r="B21" s="3" t="s">
        <v>13</v>
      </c>
      <c r="C21" s="3" t="s">
        <v>38</v>
      </c>
      <c r="D21" s="4" t="s">
        <v>423</v>
      </c>
      <c r="E21" s="3" t="s">
        <v>39</v>
      </c>
    </row>
    <row r="22" customFormat="false" ht="15" hidden="false" customHeight="false" outlineLevel="0" collapsed="false">
      <c r="A22" s="4" t="n">
        <v>21</v>
      </c>
      <c r="B22" s="3" t="s">
        <v>17</v>
      </c>
      <c r="C22" s="3" t="s">
        <v>40</v>
      </c>
      <c r="D22" s="4" t="s">
        <v>424</v>
      </c>
      <c r="E22" s="3" t="s">
        <v>41</v>
      </c>
    </row>
    <row r="23" customFormat="false" ht="15" hidden="false" customHeight="false" outlineLevel="0" collapsed="false">
      <c r="A23" s="4" t="n">
        <v>22</v>
      </c>
      <c r="B23" s="3" t="s">
        <v>11</v>
      </c>
      <c r="C23" s="3" t="s">
        <v>40</v>
      </c>
      <c r="D23" s="4" t="s">
        <v>425</v>
      </c>
      <c r="E23" s="3" t="s">
        <v>41</v>
      </c>
    </row>
    <row r="24" customFormat="false" ht="15" hidden="false" customHeight="false" outlineLevel="0" collapsed="false">
      <c r="A24" s="4" t="n">
        <v>23</v>
      </c>
      <c r="B24" s="3" t="s">
        <v>11</v>
      </c>
      <c r="C24" s="3" t="s">
        <v>40</v>
      </c>
      <c r="D24" s="4" t="s">
        <v>426</v>
      </c>
      <c r="E24" s="3" t="s">
        <v>41</v>
      </c>
    </row>
    <row r="25" customFormat="false" ht="15" hidden="false" customHeight="false" outlineLevel="0" collapsed="false">
      <c r="A25" s="4" t="n">
        <v>24</v>
      </c>
      <c r="B25" s="3" t="s">
        <v>11</v>
      </c>
      <c r="C25" s="3" t="s">
        <v>40</v>
      </c>
      <c r="D25" s="4" t="s">
        <v>427</v>
      </c>
      <c r="E25" s="3" t="s">
        <v>41</v>
      </c>
    </row>
    <row r="26" customFormat="false" ht="15" hidden="false" customHeight="false" outlineLevel="0" collapsed="false">
      <c r="A26" s="4" t="n">
        <v>25</v>
      </c>
      <c r="B26" s="3" t="s">
        <v>11</v>
      </c>
      <c r="C26" s="3" t="s">
        <v>40</v>
      </c>
      <c r="D26" s="4" t="s">
        <v>428</v>
      </c>
      <c r="E26" s="3" t="s">
        <v>41</v>
      </c>
    </row>
    <row r="27" customFormat="false" ht="15" hidden="false" customHeight="false" outlineLevel="0" collapsed="false">
      <c r="A27" s="4" t="n">
        <v>26</v>
      </c>
      <c r="B27" s="3" t="s">
        <v>11</v>
      </c>
      <c r="C27" s="3" t="s">
        <v>42</v>
      </c>
      <c r="D27" s="4" t="s">
        <v>429</v>
      </c>
      <c r="E27" s="3" t="s">
        <v>43</v>
      </c>
    </row>
    <row r="28" customFormat="false" ht="15" hidden="false" customHeight="false" outlineLevel="0" collapsed="false">
      <c r="A28" s="4" t="n">
        <v>27</v>
      </c>
      <c r="B28" s="3" t="s">
        <v>13</v>
      </c>
      <c r="C28" s="3" t="s">
        <v>44</v>
      </c>
      <c r="D28" s="4" t="s">
        <v>430</v>
      </c>
      <c r="E28" s="3" t="s">
        <v>45</v>
      </c>
    </row>
    <row r="29" customFormat="false" ht="15" hidden="false" customHeight="false" outlineLevel="0" collapsed="false">
      <c r="A29" s="4" t="n">
        <v>28</v>
      </c>
      <c r="B29" s="3" t="s">
        <v>13</v>
      </c>
      <c r="C29" s="3" t="s">
        <v>46</v>
      </c>
      <c r="D29" s="4" t="s">
        <v>431</v>
      </c>
      <c r="E29" s="3" t="s">
        <v>37</v>
      </c>
    </row>
    <row r="30" customFormat="false" ht="15" hidden="false" customHeight="false" outlineLevel="0" collapsed="false">
      <c r="A30" s="4" t="n">
        <v>29</v>
      </c>
      <c r="B30" s="3" t="s">
        <v>13</v>
      </c>
      <c r="C30" s="3" t="s">
        <v>46</v>
      </c>
      <c r="D30" s="4" t="s">
        <v>432</v>
      </c>
      <c r="E30" s="3" t="s">
        <v>37</v>
      </c>
    </row>
    <row r="31" customFormat="false" ht="15" hidden="false" customHeight="false" outlineLevel="0" collapsed="false">
      <c r="A31" s="4" t="n">
        <v>30</v>
      </c>
      <c r="B31" s="3" t="s">
        <v>11</v>
      </c>
      <c r="C31" s="3" t="s">
        <v>46</v>
      </c>
      <c r="D31" s="4" t="s">
        <v>433</v>
      </c>
      <c r="E31" s="3" t="s">
        <v>37</v>
      </c>
    </row>
    <row r="32" customFormat="false" ht="15" hidden="false" customHeight="false" outlineLevel="0" collapsed="false">
      <c r="A32" s="4" t="n">
        <v>31</v>
      </c>
      <c r="B32" s="3" t="s">
        <v>11</v>
      </c>
      <c r="C32" s="3" t="s">
        <v>47</v>
      </c>
      <c r="D32" s="4" t="s">
        <v>434</v>
      </c>
      <c r="E32" s="3" t="s">
        <v>39</v>
      </c>
    </row>
    <row r="33" customFormat="false" ht="15" hidden="false" customHeight="false" outlineLevel="0" collapsed="false">
      <c r="A33" s="4" t="n">
        <v>32</v>
      </c>
      <c r="B33" s="3" t="s">
        <v>11</v>
      </c>
      <c r="C33" s="3" t="s">
        <v>47</v>
      </c>
      <c r="D33" s="4" t="s">
        <v>435</v>
      </c>
      <c r="E33" s="3" t="s">
        <v>39</v>
      </c>
    </row>
    <row r="34" customFormat="false" ht="15" hidden="false" customHeight="false" outlineLevel="0" collapsed="false">
      <c r="A34" s="4" t="n">
        <v>33</v>
      </c>
      <c r="B34" s="3" t="s">
        <v>13</v>
      </c>
      <c r="C34" s="3" t="s">
        <v>47</v>
      </c>
      <c r="D34" s="4" t="s">
        <v>417</v>
      </c>
      <c r="E34" s="3" t="s">
        <v>39</v>
      </c>
    </row>
    <row r="35" customFormat="false" ht="15" hidden="false" customHeight="false" outlineLevel="0" collapsed="false">
      <c r="A35" s="4" t="n">
        <v>34</v>
      </c>
      <c r="B35" s="3" t="s">
        <v>13</v>
      </c>
      <c r="C35" s="3" t="s">
        <v>47</v>
      </c>
      <c r="D35" s="4" t="s">
        <v>436</v>
      </c>
      <c r="E35" s="3" t="s">
        <v>39</v>
      </c>
    </row>
    <row r="36" customFormat="false" ht="15" hidden="false" customHeight="false" outlineLevel="0" collapsed="false">
      <c r="A36" s="4" t="n">
        <v>35</v>
      </c>
      <c r="B36" s="3" t="s">
        <v>13</v>
      </c>
      <c r="C36" s="3" t="s">
        <v>47</v>
      </c>
      <c r="D36" s="4" t="s">
        <v>437</v>
      </c>
      <c r="E36" s="3" t="s">
        <v>39</v>
      </c>
    </row>
    <row r="37" customFormat="false" ht="15" hidden="false" customHeight="false" outlineLevel="0" collapsed="false">
      <c r="A37" s="4" t="n">
        <v>36</v>
      </c>
      <c r="B37" s="3" t="s">
        <v>11</v>
      </c>
      <c r="C37" s="3" t="s">
        <v>47</v>
      </c>
      <c r="D37" s="4" t="s">
        <v>438</v>
      </c>
      <c r="E37" s="3" t="s">
        <v>39</v>
      </c>
    </row>
    <row r="38" customFormat="false" ht="15" hidden="false" customHeight="false" outlineLevel="0" collapsed="false">
      <c r="A38" s="4" t="n">
        <v>37</v>
      </c>
      <c r="B38" s="3" t="s">
        <v>11</v>
      </c>
      <c r="C38" s="3" t="s">
        <v>47</v>
      </c>
      <c r="D38" s="4" t="s">
        <v>439</v>
      </c>
      <c r="E38" s="3" t="s">
        <v>39</v>
      </c>
    </row>
    <row r="39" customFormat="false" ht="15" hidden="false" customHeight="false" outlineLevel="0" collapsed="false">
      <c r="A39" s="4" t="n">
        <v>38</v>
      </c>
      <c r="B39" s="3" t="s">
        <v>13</v>
      </c>
      <c r="C39" s="3" t="s">
        <v>47</v>
      </c>
      <c r="D39" s="4" t="s">
        <v>440</v>
      </c>
      <c r="E39" s="3" t="s">
        <v>39</v>
      </c>
    </row>
    <row r="40" customFormat="false" ht="15" hidden="false" customHeight="false" outlineLevel="0" collapsed="false">
      <c r="A40" s="4" t="n">
        <v>39</v>
      </c>
      <c r="B40" s="3" t="s">
        <v>11</v>
      </c>
      <c r="C40" s="3" t="s">
        <v>48</v>
      </c>
      <c r="D40" s="4" t="s">
        <v>441</v>
      </c>
      <c r="E40" s="3" t="s">
        <v>41</v>
      </c>
    </row>
    <row r="41" customFormat="false" ht="15" hidden="false" customHeight="false" outlineLevel="0" collapsed="false">
      <c r="A41" s="4" t="n">
        <v>40</v>
      </c>
      <c r="B41" s="3" t="s">
        <v>11</v>
      </c>
      <c r="C41" s="3" t="s">
        <v>48</v>
      </c>
      <c r="D41" s="4" t="s">
        <v>442</v>
      </c>
      <c r="E41" s="3" t="s">
        <v>41</v>
      </c>
    </row>
    <row r="42" customFormat="false" ht="15" hidden="false" customHeight="false" outlineLevel="0" collapsed="false">
      <c r="A42" s="4" t="n">
        <v>41</v>
      </c>
      <c r="B42" s="3" t="s">
        <v>11</v>
      </c>
      <c r="C42" s="3" t="s">
        <v>48</v>
      </c>
      <c r="D42" s="4" t="s">
        <v>443</v>
      </c>
      <c r="E42" s="3" t="s">
        <v>41</v>
      </c>
    </row>
    <row r="43" customFormat="false" ht="15" hidden="false" customHeight="false" outlineLevel="0" collapsed="false">
      <c r="A43" s="4" t="n">
        <v>42</v>
      </c>
      <c r="B43" s="3" t="s">
        <v>13</v>
      </c>
      <c r="C43" s="3" t="s">
        <v>48</v>
      </c>
      <c r="D43" s="4" t="s">
        <v>444</v>
      </c>
      <c r="E43" s="3" t="s">
        <v>41</v>
      </c>
    </row>
    <row r="44" customFormat="false" ht="15" hidden="false" customHeight="false" outlineLevel="0" collapsed="false">
      <c r="A44" s="4" t="n">
        <v>43</v>
      </c>
      <c r="B44" s="3" t="s">
        <v>11</v>
      </c>
      <c r="C44" s="3" t="s">
        <v>48</v>
      </c>
      <c r="D44" s="4" t="s">
        <v>445</v>
      </c>
      <c r="E44" s="3" t="s">
        <v>41</v>
      </c>
    </row>
    <row r="45" customFormat="false" ht="15" hidden="false" customHeight="false" outlineLevel="0" collapsed="false">
      <c r="A45" s="4" t="n">
        <v>44</v>
      </c>
      <c r="B45" s="3" t="s">
        <v>11</v>
      </c>
      <c r="C45" s="3" t="s">
        <v>48</v>
      </c>
      <c r="D45" s="4" t="s">
        <v>446</v>
      </c>
      <c r="E45" s="3" t="s">
        <v>41</v>
      </c>
    </row>
    <row r="46" customFormat="false" ht="15" hidden="false" customHeight="false" outlineLevel="0" collapsed="false">
      <c r="A46" s="4" t="n">
        <v>45</v>
      </c>
      <c r="B46" s="3" t="s">
        <v>13</v>
      </c>
      <c r="C46" s="3" t="s">
        <v>48</v>
      </c>
      <c r="D46" s="4" t="s">
        <v>447</v>
      </c>
      <c r="E46" s="3" t="s">
        <v>41</v>
      </c>
    </row>
    <row r="47" customFormat="false" ht="15" hidden="false" customHeight="false" outlineLevel="0" collapsed="false">
      <c r="A47" s="4" t="n">
        <v>46</v>
      </c>
      <c r="B47" s="3" t="s">
        <v>13</v>
      </c>
      <c r="C47" s="3" t="s">
        <v>48</v>
      </c>
      <c r="D47" s="4" t="s">
        <v>448</v>
      </c>
      <c r="E47" s="3" t="s">
        <v>41</v>
      </c>
    </row>
    <row r="48" customFormat="false" ht="15" hidden="false" customHeight="false" outlineLevel="0" collapsed="false">
      <c r="A48" s="4" t="n">
        <v>47</v>
      </c>
      <c r="B48" s="3" t="s">
        <v>13</v>
      </c>
      <c r="C48" s="3" t="s">
        <v>48</v>
      </c>
      <c r="D48" s="4" t="s">
        <v>449</v>
      </c>
      <c r="E48" s="3" t="s">
        <v>41</v>
      </c>
    </row>
    <row r="49" customFormat="false" ht="15" hidden="false" customHeight="false" outlineLevel="0" collapsed="false">
      <c r="A49" s="4" t="n">
        <v>48</v>
      </c>
      <c r="B49" s="3" t="s">
        <v>11</v>
      </c>
      <c r="C49" s="3" t="s">
        <v>48</v>
      </c>
      <c r="D49" s="4" t="s">
        <v>450</v>
      </c>
      <c r="E49" s="3" t="s">
        <v>41</v>
      </c>
    </row>
    <row r="50" customFormat="false" ht="15" hidden="false" customHeight="false" outlineLevel="0" collapsed="false">
      <c r="A50" s="4" t="n">
        <v>49</v>
      </c>
      <c r="B50" s="3" t="s">
        <v>11</v>
      </c>
      <c r="C50" s="3" t="s">
        <v>48</v>
      </c>
      <c r="D50" s="4" t="s">
        <v>451</v>
      </c>
      <c r="E50" s="3" t="s">
        <v>41</v>
      </c>
    </row>
    <row r="51" customFormat="false" ht="15" hidden="false" customHeight="false" outlineLevel="0" collapsed="false">
      <c r="A51" s="4" t="n">
        <v>50</v>
      </c>
      <c r="B51" s="3" t="s">
        <v>13</v>
      </c>
      <c r="C51" s="3" t="s">
        <v>48</v>
      </c>
      <c r="D51" s="4" t="s">
        <v>452</v>
      </c>
      <c r="E51" s="3" t="s">
        <v>41</v>
      </c>
    </row>
    <row r="52" customFormat="false" ht="15" hidden="false" customHeight="false" outlineLevel="0" collapsed="false">
      <c r="A52" s="4" t="n">
        <v>51</v>
      </c>
      <c r="B52" s="3" t="s">
        <v>11</v>
      </c>
      <c r="C52" s="3" t="s">
        <v>49</v>
      </c>
      <c r="D52" s="4" t="s">
        <v>453</v>
      </c>
      <c r="E52" s="3" t="s">
        <v>43</v>
      </c>
    </row>
    <row r="53" customFormat="false" ht="15" hidden="false" customHeight="false" outlineLevel="0" collapsed="false">
      <c r="A53" s="4" t="n">
        <v>52</v>
      </c>
      <c r="B53" s="3" t="s">
        <v>11</v>
      </c>
      <c r="C53" s="3" t="s">
        <v>49</v>
      </c>
      <c r="D53" s="4" t="s">
        <v>454</v>
      </c>
      <c r="E53" s="3" t="s">
        <v>43</v>
      </c>
    </row>
    <row r="54" customFormat="false" ht="15" hidden="false" customHeight="false" outlineLevel="0" collapsed="false">
      <c r="A54" s="4" t="n">
        <v>53</v>
      </c>
      <c r="B54" s="3" t="s">
        <v>11</v>
      </c>
      <c r="C54" s="3" t="s">
        <v>49</v>
      </c>
      <c r="D54" s="4" t="s">
        <v>455</v>
      </c>
      <c r="E54" s="3" t="s">
        <v>43</v>
      </c>
    </row>
    <row r="55" customFormat="false" ht="15" hidden="false" customHeight="false" outlineLevel="0" collapsed="false">
      <c r="A55" s="4" t="n">
        <v>54</v>
      </c>
      <c r="B55" s="3" t="s">
        <v>13</v>
      </c>
      <c r="C55" s="3" t="s">
        <v>49</v>
      </c>
      <c r="D55" s="4" t="s">
        <v>456</v>
      </c>
      <c r="E55" s="3" t="s">
        <v>43</v>
      </c>
    </row>
    <row r="56" customFormat="false" ht="15" hidden="false" customHeight="false" outlineLevel="0" collapsed="false">
      <c r="A56" s="4" t="n">
        <v>55</v>
      </c>
      <c r="B56" s="3" t="s">
        <v>11</v>
      </c>
      <c r="C56" s="3" t="s">
        <v>49</v>
      </c>
      <c r="D56" s="4" t="s">
        <v>457</v>
      </c>
      <c r="E56" s="3" t="s">
        <v>43</v>
      </c>
    </row>
    <row r="57" customFormat="false" ht="15" hidden="false" customHeight="false" outlineLevel="0" collapsed="false">
      <c r="A57" s="4" t="n">
        <v>56</v>
      </c>
      <c r="B57" s="3" t="s">
        <v>13</v>
      </c>
      <c r="C57" s="3" t="s">
        <v>49</v>
      </c>
      <c r="D57" s="4" t="s">
        <v>458</v>
      </c>
      <c r="E57" s="3" t="s">
        <v>43</v>
      </c>
    </row>
    <row r="58" customFormat="false" ht="15" hidden="false" customHeight="false" outlineLevel="0" collapsed="false">
      <c r="A58" s="4" t="n">
        <v>57</v>
      </c>
      <c r="B58" s="3" t="s">
        <v>11</v>
      </c>
      <c r="C58" s="3" t="s">
        <v>49</v>
      </c>
      <c r="D58" s="4" t="s">
        <v>459</v>
      </c>
      <c r="E58" s="3" t="s">
        <v>43</v>
      </c>
    </row>
    <row r="59" customFormat="false" ht="15" hidden="false" customHeight="false" outlineLevel="0" collapsed="false">
      <c r="A59" s="20" t="n">
        <v>58</v>
      </c>
      <c r="B59" s="21" t="s">
        <v>13</v>
      </c>
      <c r="C59" s="21" t="s">
        <v>50</v>
      </c>
      <c r="D59" s="20" t="s">
        <v>460</v>
      </c>
      <c r="E59" s="21" t="s">
        <v>51</v>
      </c>
    </row>
    <row r="60" customFormat="false" ht="15" hidden="false" customHeight="false" outlineLevel="0" collapsed="false">
      <c r="A60" s="4" t="n">
        <v>59</v>
      </c>
      <c r="B60" s="3" t="s">
        <v>13</v>
      </c>
      <c r="C60" s="3" t="s">
        <v>52</v>
      </c>
      <c r="D60" s="4" t="s">
        <v>461</v>
      </c>
      <c r="E60" s="3" t="s">
        <v>35</v>
      </c>
    </row>
    <row r="61" customFormat="false" ht="15" hidden="false" customHeight="false" outlineLevel="0" collapsed="false">
      <c r="A61" s="4" t="n">
        <v>60</v>
      </c>
      <c r="B61" s="3" t="s">
        <v>13</v>
      </c>
      <c r="C61" s="3" t="s">
        <v>52</v>
      </c>
      <c r="D61" s="4" t="s">
        <v>462</v>
      </c>
      <c r="E61" s="3" t="s">
        <v>35</v>
      </c>
    </row>
    <row r="62" customFormat="false" ht="15" hidden="false" customHeight="false" outlineLevel="0" collapsed="false">
      <c r="A62" s="4" t="n">
        <v>61</v>
      </c>
      <c r="B62" s="3" t="s">
        <v>11</v>
      </c>
      <c r="C62" s="3" t="s">
        <v>53</v>
      </c>
      <c r="D62" s="4" t="s">
        <v>463</v>
      </c>
      <c r="E62" s="3" t="s">
        <v>39</v>
      </c>
    </row>
    <row r="63" customFormat="false" ht="15" hidden="false" customHeight="false" outlineLevel="0" collapsed="false">
      <c r="A63" s="4" t="n">
        <v>62</v>
      </c>
      <c r="B63" s="3" t="s">
        <v>11</v>
      </c>
      <c r="C63" s="3" t="s">
        <v>53</v>
      </c>
      <c r="D63" s="4" t="s">
        <v>464</v>
      </c>
      <c r="E63" s="3" t="s">
        <v>39</v>
      </c>
    </row>
    <row r="64" customFormat="false" ht="15" hidden="false" customHeight="false" outlineLevel="0" collapsed="false">
      <c r="A64" s="4" t="n">
        <v>63</v>
      </c>
      <c r="B64" s="3" t="s">
        <v>11</v>
      </c>
      <c r="C64" s="3" t="s">
        <v>53</v>
      </c>
      <c r="D64" s="4" t="s">
        <v>465</v>
      </c>
      <c r="E64" s="3" t="s">
        <v>39</v>
      </c>
    </row>
    <row r="65" customFormat="false" ht="15" hidden="false" customHeight="false" outlineLevel="0" collapsed="false">
      <c r="A65" s="4" t="n">
        <v>64</v>
      </c>
      <c r="B65" s="3" t="s">
        <v>13</v>
      </c>
      <c r="C65" s="3" t="s">
        <v>53</v>
      </c>
      <c r="D65" s="4" t="s">
        <v>466</v>
      </c>
      <c r="E65" s="3" t="s">
        <v>39</v>
      </c>
    </row>
    <row r="66" customFormat="false" ht="15" hidden="false" customHeight="false" outlineLevel="0" collapsed="false">
      <c r="A66" s="4" t="n">
        <v>65</v>
      </c>
      <c r="B66" s="3" t="s">
        <v>13</v>
      </c>
      <c r="C66" s="3" t="s">
        <v>53</v>
      </c>
      <c r="D66" s="4" t="s">
        <v>467</v>
      </c>
      <c r="E66" s="3" t="s">
        <v>39</v>
      </c>
    </row>
    <row r="67" customFormat="false" ht="15" hidden="false" customHeight="false" outlineLevel="0" collapsed="false">
      <c r="A67" s="4" t="n">
        <v>66</v>
      </c>
      <c r="B67" s="3" t="s">
        <v>11</v>
      </c>
      <c r="C67" s="3" t="s">
        <v>53</v>
      </c>
      <c r="D67" s="4" t="s">
        <v>468</v>
      </c>
      <c r="E67" s="3" t="s">
        <v>39</v>
      </c>
    </row>
    <row r="68" customFormat="false" ht="15" hidden="false" customHeight="false" outlineLevel="0" collapsed="false">
      <c r="A68" s="4" t="n">
        <v>67</v>
      </c>
      <c r="B68" s="3" t="s">
        <v>17</v>
      </c>
      <c r="C68" s="3" t="s">
        <v>54</v>
      </c>
      <c r="D68" s="4" t="s">
        <v>469</v>
      </c>
      <c r="E68" s="3" t="s">
        <v>41</v>
      </c>
    </row>
    <row r="69" customFormat="false" ht="15" hidden="false" customHeight="false" outlineLevel="0" collapsed="false">
      <c r="A69" s="4" t="n">
        <v>68</v>
      </c>
      <c r="B69" s="3" t="s">
        <v>13</v>
      </c>
      <c r="C69" s="3" t="s">
        <v>55</v>
      </c>
      <c r="D69" s="4" t="s">
        <v>470</v>
      </c>
      <c r="E69" s="3" t="s">
        <v>43</v>
      </c>
    </row>
    <row r="70" customFormat="false" ht="15" hidden="false" customHeight="false" outlineLevel="0" collapsed="false">
      <c r="A70" s="2" t="s">
        <v>18</v>
      </c>
      <c r="B70" s="2" t="n">
        <f aca="false">COUNTA(B2:B69)</f>
        <v>68</v>
      </c>
    </row>
    <row r="72" customFormat="false" ht="15" hidden="false" customHeight="false" outlineLevel="0" collapsed="false">
      <c r="A72" s="14" t="s">
        <v>471</v>
      </c>
    </row>
    <row r="73" customFormat="false" ht="15" hidden="false" customHeight="false" outlineLevel="0" collapsed="false">
      <c r="A73" s="14" t="s">
        <v>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10"/>
  </cols>
  <sheetData>
    <row r="1" customFormat="false" ht="21.75" hidden="false" customHeight="true" outlineLevel="0" collapsed="false">
      <c r="A1" s="1" t="s">
        <v>59</v>
      </c>
      <c r="B1" s="1" t="s">
        <v>27</v>
      </c>
      <c r="C1" s="1" t="s">
        <v>473</v>
      </c>
      <c r="D1" s="1" t="s">
        <v>63</v>
      </c>
      <c r="E1" s="1" t="s">
        <v>64</v>
      </c>
      <c r="F1" s="1" t="s">
        <v>65</v>
      </c>
    </row>
    <row r="2" customFormat="false" ht="15" hidden="false" customHeight="false" outlineLevel="0" collapsed="false">
      <c r="A2" s="4" t="n">
        <v>1</v>
      </c>
      <c r="B2" s="3" t="s">
        <v>36</v>
      </c>
      <c r="C2" s="4" t="s">
        <v>474</v>
      </c>
      <c r="D2" s="4" t="n">
        <v>5</v>
      </c>
      <c r="E2" s="3" t="s">
        <v>475</v>
      </c>
      <c r="F2" s="4" t="s">
        <v>69</v>
      </c>
    </row>
    <row r="3" customFormat="false" ht="15" hidden="false" customHeight="false" outlineLevel="0" collapsed="false">
      <c r="A3" s="4" t="n">
        <v>2</v>
      </c>
      <c r="B3" s="3" t="s">
        <v>36</v>
      </c>
      <c r="C3" s="4" t="s">
        <v>476</v>
      </c>
      <c r="D3" s="4" t="n">
        <v>5</v>
      </c>
      <c r="E3" s="3" t="s">
        <v>477</v>
      </c>
      <c r="F3" s="4" t="s">
        <v>79</v>
      </c>
    </row>
    <row r="4" customFormat="false" ht="15" hidden="false" customHeight="false" outlineLevel="0" collapsed="false">
      <c r="A4" s="4" t="n">
        <v>3</v>
      </c>
      <c r="B4" s="3" t="s">
        <v>38</v>
      </c>
      <c r="C4" s="4" t="s">
        <v>478</v>
      </c>
      <c r="D4" s="4" t="n">
        <v>5</v>
      </c>
      <c r="E4" s="3" t="s">
        <v>479</v>
      </c>
      <c r="F4" s="4" t="s">
        <v>79</v>
      </c>
    </row>
    <row r="5" customFormat="false" ht="15" hidden="false" customHeight="false" outlineLevel="0" collapsed="false">
      <c r="A5" s="4" t="n">
        <v>4</v>
      </c>
      <c r="B5" s="3" t="s">
        <v>38</v>
      </c>
      <c r="C5" s="4" t="s">
        <v>480</v>
      </c>
      <c r="D5" s="4" t="n">
        <v>5</v>
      </c>
      <c r="E5" s="3" t="s">
        <v>481</v>
      </c>
      <c r="F5" s="4" t="s">
        <v>69</v>
      </c>
    </row>
    <row r="6" customFormat="false" ht="15" hidden="false" customHeight="false" outlineLevel="0" collapsed="false">
      <c r="A6" s="4" t="n">
        <v>5</v>
      </c>
      <c r="B6" s="3" t="s">
        <v>40</v>
      </c>
      <c r="C6" s="4" t="s">
        <v>482</v>
      </c>
      <c r="D6" s="4" t="n">
        <v>5</v>
      </c>
      <c r="E6" s="3" t="s">
        <v>483</v>
      </c>
      <c r="F6" s="4" t="s">
        <v>69</v>
      </c>
    </row>
    <row r="7" customFormat="false" ht="15" hidden="false" customHeight="false" outlineLevel="0" collapsed="false">
      <c r="A7" s="16" t="n">
        <v>6</v>
      </c>
      <c r="B7" s="15" t="s">
        <v>46</v>
      </c>
      <c r="C7" s="16" t="s">
        <v>484</v>
      </c>
      <c r="D7" s="16" t="n">
        <v>3</v>
      </c>
      <c r="E7" s="15" t="s">
        <v>485</v>
      </c>
      <c r="F7" s="16" t="s">
        <v>79</v>
      </c>
    </row>
    <row r="8" customFormat="false" ht="15" hidden="false" customHeight="false" outlineLevel="0" collapsed="false">
      <c r="A8" s="4" t="n">
        <v>7</v>
      </c>
      <c r="B8" s="3" t="s">
        <v>47</v>
      </c>
      <c r="C8" s="4" t="s">
        <v>486</v>
      </c>
      <c r="D8" s="4" t="n">
        <v>5</v>
      </c>
      <c r="E8" s="3" t="s">
        <v>487</v>
      </c>
      <c r="F8" s="4" t="s">
        <v>79</v>
      </c>
    </row>
    <row r="9" customFormat="false" ht="15" hidden="false" customHeight="false" outlineLevel="0" collapsed="false">
      <c r="A9" s="4" t="n">
        <v>8</v>
      </c>
      <c r="B9" s="3" t="s">
        <v>48</v>
      </c>
      <c r="C9" s="4" t="s">
        <v>488</v>
      </c>
      <c r="D9" s="4" t="n">
        <v>4</v>
      </c>
      <c r="E9" s="3" t="s">
        <v>489</v>
      </c>
      <c r="F9" s="4" t="s">
        <v>69</v>
      </c>
    </row>
    <row r="10" customFormat="false" ht="15" hidden="false" customHeight="false" outlineLevel="0" collapsed="false">
      <c r="A10" s="16" t="n">
        <v>9</v>
      </c>
      <c r="B10" s="15" t="s">
        <v>50</v>
      </c>
      <c r="C10" s="16" t="s">
        <v>490</v>
      </c>
      <c r="D10" s="16" t="n">
        <v>1</v>
      </c>
      <c r="E10" s="15" t="s">
        <v>491</v>
      </c>
      <c r="F10" s="16" t="s">
        <v>69</v>
      </c>
    </row>
    <row r="11" customFormat="false" ht="15" hidden="false" customHeight="false" outlineLevel="0" collapsed="false">
      <c r="A11" s="16" t="n">
        <v>10</v>
      </c>
      <c r="B11" s="15" t="s">
        <v>50</v>
      </c>
      <c r="C11" s="16" t="s">
        <v>492</v>
      </c>
      <c r="D11" s="16" t="n">
        <v>1</v>
      </c>
      <c r="E11" s="15" t="s">
        <v>493</v>
      </c>
      <c r="F11" s="16" t="s">
        <v>69</v>
      </c>
    </row>
    <row r="12" customFormat="false" ht="15" hidden="false" customHeight="false" outlineLevel="0" collapsed="false">
      <c r="A12" s="4" t="n">
        <v>11</v>
      </c>
      <c r="B12" s="3" t="s">
        <v>53</v>
      </c>
      <c r="C12" s="4" t="s">
        <v>494</v>
      </c>
      <c r="D12" s="4" t="n">
        <v>5</v>
      </c>
      <c r="E12" s="3" t="s">
        <v>495</v>
      </c>
      <c r="F12" s="4" t="s">
        <v>79</v>
      </c>
    </row>
    <row r="13" customFormat="false" ht="15" hidden="false" customHeight="false" outlineLevel="0" collapsed="false">
      <c r="A13" s="4" t="n">
        <v>12</v>
      </c>
      <c r="B13" s="3" t="s">
        <v>53</v>
      </c>
      <c r="C13" s="4" t="s">
        <v>496</v>
      </c>
      <c r="D13" s="4" t="n">
        <v>4</v>
      </c>
      <c r="E13" s="3" t="s">
        <v>497</v>
      </c>
      <c r="F13" s="4" t="s">
        <v>79</v>
      </c>
    </row>
    <row r="14" customFormat="false" ht="15" hidden="false" customHeight="false" outlineLevel="0" collapsed="false">
      <c r="A14" s="4" t="n">
        <v>13</v>
      </c>
      <c r="B14" s="3" t="s">
        <v>54</v>
      </c>
      <c r="C14" s="4" t="s">
        <v>498</v>
      </c>
      <c r="D14" s="4" t="n">
        <v>5</v>
      </c>
      <c r="E14" s="3" t="s">
        <v>499</v>
      </c>
      <c r="F14" s="4" t="s">
        <v>69</v>
      </c>
    </row>
    <row r="15" customFormat="false" ht="15" hidden="false" customHeight="false" outlineLevel="0" collapsed="false">
      <c r="A15" s="4" t="n">
        <v>14</v>
      </c>
      <c r="B15" s="3" t="s">
        <v>55</v>
      </c>
      <c r="C15" s="4" t="s">
        <v>500</v>
      </c>
      <c r="D15" s="4" t="n">
        <v>4</v>
      </c>
      <c r="E15" s="3" t="s">
        <v>501</v>
      </c>
      <c r="F15" s="4" t="s">
        <v>79</v>
      </c>
    </row>
    <row r="16" customFormat="false" ht="15" hidden="false" customHeight="false" outlineLevel="0" collapsed="false">
      <c r="A16" s="2" t="s">
        <v>18</v>
      </c>
      <c r="D16" s="19" t="n">
        <f aca="false">AVERAGE(D2:D15)</f>
        <v>4.07142857142857</v>
      </c>
    </row>
    <row r="18" customFormat="false" ht="15" hidden="false" customHeight="false" outlineLevel="0" collapsed="false">
      <c r="A18" s="14" t="s">
        <v>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2026-08-25T21:12:28Z</dcterms:created>
  <dc:creator>openpyxl</dc:creator>
  <dc:description/>
  <dc:language>en-US</dc:language>
  <cp:lastModifiedBy/>
  <dcterms:modified xsi:type="dcterms:W3CDTF">2026-08-25T22:11:32Z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